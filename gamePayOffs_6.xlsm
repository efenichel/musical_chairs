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C:\Users\pgourley\Dropbox\Papers\Cap and Trade\"/>
    </mc:Choice>
  </mc:AlternateContent>
  <xr:revisionPtr revIDLastSave="0" documentId="13_ncr:1_{4BEE106B-190F-4DEB-976B-2C79EC8C0DA7}" xr6:coauthVersionLast="43" xr6:coauthVersionMax="43" xr10:uidLastSave="{00000000-0000-0000-0000-000000000000}"/>
  <bookViews>
    <workbookView xWindow="-120" yWindow="-120" windowWidth="29040" windowHeight="15840" xr2:uid="{00000000-000D-0000-FFFF-FFFF00000000}"/>
  </bookViews>
  <sheets>
    <sheet name="Read Me Instructions" sheetId="35" r:id="rId1"/>
    <sheet name="generate" sheetId="14" r:id="rId2"/>
    <sheet name="gamesheet" sheetId="34" r:id="rId3"/>
    <sheet name="payoffs" sheetId="1" r:id="rId4"/>
    <sheet name="balance sheet" sheetId="5" r:id="rId5"/>
    <sheet name="find_best" sheetId="18" r:id="rId6"/>
  </sheets>
  <definedNames>
    <definedName name="_xlnm._FilterDatabase" localSheetId="5" hidden="1">find_best!$B$1:$K$1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2" i="34" l="1"/>
  <c r="H33" i="34" l="1"/>
  <c r="B33" i="34"/>
  <c r="B2" i="34"/>
  <c r="A36" i="14"/>
  <c r="D28" i="18"/>
  <c r="H34" i="34" l="1"/>
  <c r="J5" i="34"/>
  <c r="J6" i="34"/>
  <c r="J7" i="34"/>
  <c r="L4" i="18"/>
  <c r="L5" i="18"/>
  <c r="L6" i="18"/>
  <c r="L7" i="18"/>
  <c r="L8" i="18"/>
  <c r="L9" i="18"/>
  <c r="L10" i="18"/>
  <c r="L11" i="18"/>
  <c r="L12" i="18"/>
  <c r="L13" i="18"/>
  <c r="L14" i="18"/>
  <c r="L15" i="18"/>
  <c r="L16" i="18"/>
  <c r="L17" i="18"/>
  <c r="L18" i="18"/>
  <c r="L19" i="18"/>
  <c r="L20" i="18"/>
  <c r="L21" i="18"/>
  <c r="L22" i="18"/>
  <c r="L23" i="18"/>
  <c r="L24" i="18"/>
  <c r="L25" i="18"/>
  <c r="L26" i="18"/>
  <c r="L3" i="18"/>
  <c r="L2" i="18"/>
  <c r="M20" i="18"/>
  <c r="M21" i="18"/>
  <c r="M22" i="18"/>
  <c r="M23" i="18"/>
  <c r="M24" i="18"/>
  <c r="M25" i="18"/>
  <c r="M26" i="18"/>
  <c r="G7" i="18"/>
  <c r="G10" i="18"/>
  <c r="H10" i="18"/>
  <c r="G2" i="18"/>
  <c r="H2" i="18"/>
  <c r="G19" i="18"/>
  <c r="H19" i="18"/>
  <c r="G20" i="18"/>
  <c r="H20" i="18"/>
  <c r="G11" i="18"/>
  <c r="H11" i="18"/>
  <c r="G4" i="18"/>
  <c r="H4" i="18"/>
  <c r="G23" i="18"/>
  <c r="H23" i="18"/>
  <c r="N24" i="18" l="1"/>
  <c r="N20" i="18"/>
  <c r="N22" i="18"/>
  <c r="N26" i="18"/>
  <c r="N25" i="18"/>
  <c r="N21" i="18"/>
  <c r="N23" i="18"/>
  <c r="F34" i="34"/>
  <c r="E34" i="34"/>
  <c r="D34" i="34"/>
  <c r="C34" i="34"/>
  <c r="B34" i="34"/>
  <c r="H35" i="34"/>
  <c r="F32" i="34"/>
  <c r="E32" i="34"/>
  <c r="D32" i="34"/>
  <c r="J29" i="34"/>
  <c r="J28" i="34"/>
  <c r="J27" i="34"/>
  <c r="J26" i="34"/>
  <c r="J25" i="34"/>
  <c r="J24" i="34"/>
  <c r="J23" i="34"/>
  <c r="J22" i="34"/>
  <c r="J21" i="34"/>
  <c r="J20" i="34"/>
  <c r="J19" i="34"/>
  <c r="J18" i="34"/>
  <c r="J17" i="34"/>
  <c r="J16" i="34"/>
  <c r="J15" i="34"/>
  <c r="J14" i="34"/>
  <c r="J13" i="34"/>
  <c r="J12" i="34"/>
  <c r="J11" i="34"/>
  <c r="J10" i="34"/>
  <c r="J9" i="34"/>
  <c r="J8" i="34"/>
  <c r="B32" i="34"/>
  <c r="C32" i="34"/>
  <c r="D37" i="34" l="1"/>
  <c r="B37" i="34"/>
  <c r="E37" i="34"/>
  <c r="F37" i="34"/>
  <c r="C37" i="34"/>
  <c r="H37" i="34"/>
  <c r="M19" i="18" l="1"/>
  <c r="N19" i="18" s="1"/>
  <c r="H12" i="18" l="1"/>
  <c r="H21" i="18"/>
  <c r="H18" i="18"/>
  <c r="H17" i="18"/>
  <c r="H3" i="18"/>
  <c r="H26" i="18"/>
  <c r="H22" i="18"/>
  <c r="H15" i="18"/>
  <c r="H9" i="18"/>
  <c r="H16" i="18"/>
  <c r="H5" i="18"/>
  <c r="H25" i="18"/>
  <c r="H13" i="18"/>
  <c r="H6" i="18"/>
  <c r="H8" i="18"/>
  <c r="H24" i="18"/>
  <c r="H14" i="18"/>
  <c r="H7" i="18"/>
  <c r="M3" i="18"/>
  <c r="N3" i="18" s="1"/>
  <c r="M2" i="18"/>
  <c r="N2" i="18" s="1"/>
  <c r="M6" i="18"/>
  <c r="N6" i="18" s="1"/>
  <c r="M18" i="18"/>
  <c r="N18" i="18" s="1"/>
  <c r="M17" i="18"/>
  <c r="N17" i="18" s="1"/>
  <c r="G17" i="18" l="1"/>
  <c r="G21" i="18"/>
  <c r="G5" i="18"/>
  <c r="G9" i="18"/>
  <c r="G24" i="18"/>
  <c r="M16" i="18"/>
  <c r="N16" i="18" s="1"/>
  <c r="G16" i="18"/>
  <c r="M15" i="18" l="1"/>
  <c r="N15" i="18" s="1"/>
  <c r="F29" i="18"/>
  <c r="C30" i="18" s="1"/>
  <c r="G18" i="18"/>
  <c r="M14" i="18"/>
  <c r="N14" i="18" s="1"/>
  <c r="M13" i="18"/>
  <c r="N13" i="18" s="1"/>
  <c r="G25" i="18"/>
  <c r="M12" i="18"/>
  <c r="N12" i="18" s="1"/>
  <c r="M11" i="18"/>
  <c r="N11" i="18" s="1"/>
  <c r="G22" i="18"/>
  <c r="M10" i="18"/>
  <c r="N10" i="18" s="1"/>
  <c r="G14" i="18"/>
  <c r="M9" i="18"/>
  <c r="N9" i="18" s="1"/>
  <c r="G12" i="18"/>
  <c r="M8" i="18"/>
  <c r="N8" i="18" s="1"/>
  <c r="M7" i="18"/>
  <c r="N7" i="18" s="1"/>
  <c r="G15" i="18"/>
  <c r="M5" i="18"/>
  <c r="N5" i="18" s="1"/>
  <c r="M4" i="18"/>
  <c r="N4" i="18" s="1"/>
  <c r="G13" i="18"/>
  <c r="C29" i="18"/>
  <c r="N29" i="18" l="1"/>
  <c r="O9" i="18" s="1"/>
  <c r="C31" i="18"/>
  <c r="H30" i="18"/>
  <c r="G26" i="18"/>
  <c r="G6" i="18"/>
  <c r="G8" i="18"/>
  <c r="H29" i="18"/>
  <c r="D29" i="18"/>
  <c r="D31" i="18" s="1"/>
  <c r="G3" i="18"/>
  <c r="B20" i="5"/>
  <c r="B41" i="5"/>
  <c r="B40" i="5"/>
  <c r="B4" i="5"/>
  <c r="B19" i="5"/>
  <c r="O10" i="18" l="1"/>
  <c r="O15" i="18"/>
  <c r="O11" i="18"/>
  <c r="O8" i="18"/>
  <c r="O12" i="18"/>
  <c r="O21" i="18"/>
  <c r="O20" i="18"/>
  <c r="O26" i="18"/>
  <c r="O24" i="18"/>
  <c r="O22" i="18"/>
  <c r="O25" i="18"/>
  <c r="O23" i="18"/>
  <c r="O19" i="18"/>
  <c r="O6" i="18"/>
  <c r="O17" i="18"/>
  <c r="O2" i="18"/>
  <c r="O3" i="18"/>
  <c r="O18" i="18"/>
  <c r="O16" i="18"/>
  <c r="O7" i="18"/>
  <c r="O13" i="18"/>
  <c r="O4" i="18"/>
  <c r="O14" i="18"/>
  <c r="O5" i="18"/>
  <c r="H31" i="18"/>
  <c r="H33" i="18" s="1"/>
  <c r="C32" i="18" l="1"/>
  <c r="A34" i="14" s="1"/>
</calcChain>
</file>

<file path=xl/sharedStrings.xml><?xml version="1.0" encoding="utf-8"?>
<sst xmlns="http://schemas.openxmlformats.org/spreadsheetml/2006/main" count="79" uniqueCount="67">
  <si>
    <t>Difference in profit</t>
  </si>
  <si>
    <t>with</t>
  </si>
  <si>
    <t>without</t>
  </si>
  <si>
    <t>difference</t>
  </si>
  <si>
    <t>cost per chair</t>
  </si>
  <si>
    <t>number of chairs</t>
  </si>
  <si>
    <t>total benefits</t>
  </si>
  <si>
    <t>cost function a*c^2</t>
  </si>
  <si>
    <t>a=</t>
  </si>
  <si>
    <t>total costs</t>
  </si>
  <si>
    <t>Net benefits</t>
  </si>
  <si>
    <t>Marginal net benefits</t>
  </si>
  <si>
    <t>with a chair</t>
  </si>
  <si>
    <t>without a chair</t>
  </si>
  <si>
    <t>Credit</t>
  </si>
  <si>
    <t>total</t>
  </si>
  <si>
    <t>net revenue</t>
  </si>
  <si>
    <t>Trade</t>
  </si>
  <si>
    <t>Debit</t>
  </si>
  <si>
    <t>Production value (cross out the position you don't hold in the end)</t>
  </si>
  <si>
    <t>with chair</t>
  </si>
  <si>
    <t>without chair</t>
  </si>
  <si>
    <t>total private benefits</t>
  </si>
  <si>
    <t>round 0</t>
  </si>
  <si>
    <t>social costs</t>
  </si>
  <si>
    <t>Social net benefits</t>
  </si>
  <si>
    <t>round 1</t>
  </si>
  <si>
    <t xml:space="preserve">round 2 </t>
  </si>
  <si>
    <t>round 3</t>
  </si>
  <si>
    <t>index</t>
  </si>
  <si>
    <t>chair ban</t>
  </si>
  <si>
    <t>optimal efficent market</t>
  </si>
  <si>
    <t>Social damages</t>
  </si>
  <si>
    <t>tax round</t>
  </si>
  <si>
    <t>tax</t>
  </si>
  <si>
    <t>Number of sheets</t>
  </si>
  <si>
    <t>enter payouts</t>
  </si>
  <si>
    <t>enter pay tax = 1</t>
  </si>
  <si>
    <t>tax revenue</t>
  </si>
  <si>
    <t>marginal cost of a chair</t>
  </si>
  <si>
    <t>optimal number of chairs</t>
  </si>
  <si>
    <t>chair tax between =</t>
  </si>
  <si>
    <t xml:space="preserve">a = </t>
  </si>
  <si>
    <t>Setup the game gamesheet by pressing this button</t>
  </si>
  <si>
    <t>the optimal number of chairs will be</t>
  </si>
  <si>
    <t>The optimal tax is</t>
  </si>
  <si>
    <t xml:space="preserve">Now toggle to the sheet named "gamesheet" to be ready to play with your class. </t>
  </si>
  <si>
    <t>GENERATE</t>
  </si>
  <si>
    <t>GAMESHEET</t>
  </si>
  <si>
    <t>PAYOFFS</t>
  </si>
  <si>
    <t>BALANCE SHEET</t>
  </si>
  <si>
    <t>FIND_BEST</t>
  </si>
  <si>
    <t>yellow cells are ones that the user can change</t>
  </si>
  <si>
    <t>green cells are calculated by macros</t>
  </si>
  <si>
    <t>Round _____</t>
  </si>
  <si>
    <t xml:space="preserve">Stores payoffs data for with and without a chair.
These were initially generated using uniform random numbers.
</t>
  </si>
  <si>
    <t>Provides the printable template to produce the paper balance sheets for students.
This happens automatically when you click "generate."</t>
  </si>
  <si>
    <t>chair cost is a * chair ^2</t>
  </si>
  <si>
    <t xml:space="preserve">Use this spreadsheet in class to play the game. 
Column A lists the rows where player information should be entered. It also lists some summary statistics headings.
Column B provides the summary statistics for a round (0) when all students have a chair.
Cell B2 reports the cost parameter.
Do not change the parameter here. If you desire a different parameter, please change it on the "generate" sheet. 
Column C provides the summary statistics for a round when chairs are banded. 
Columns D-F are where the instructor enters the profit for each  player after trading has settled.
These columns are used with the musical chairs game.
Column H is where profits for a tax round are entered. 
Column I should be set to 1 if a player has a chair and set to 0 if the player does not have a chair. 
All formulas update automatically. </t>
  </si>
  <si>
    <t>Created by Eli Fenichel
Version updated in July 10, 2019
Yale University 
© Eli P. Fenichel</t>
  </si>
  <si>
    <r>
      <t xml:space="preserve">The worksheet "generate" is used to set up the game set up for class.  
In cell A2 of this worksheet you can adjust the number of balance sheets needed.
Direct your computer to the desired printer using Excel's standard method before clicking "Generate Balance Sheets."
When you click the button, X unique worksheets will print be sent to your printer.
The same balance sheets will always print in the same order, so students can play more than 2 rounds.
Maintaining the order is important to match up to the curves presented
One trick is to point Excel to print to pdf, and this will create a pdf file that can be printed off later. 
The game is setup for up to 25 players, but 9ish is probably the minimum.
The cost function for a chair is quadratic, i.e., the form 
The coefficient </t>
    </r>
    <r>
      <rPr>
        <i/>
        <sz val="10"/>
        <rFont val="Arial"/>
        <family val="2"/>
      </rPr>
      <t>a</t>
    </r>
    <r>
      <rPr>
        <sz val="10"/>
        <rFont val="Arial"/>
        <family val="2"/>
      </rPr>
      <t xml:space="preserve"> can be adjusted in cell B26
The default value was chosen because it generally works well over the range of 9-25 players.
Cells A34 and A36 provide the optimal number of chairs and the optimal tax for the instructors benefit. </t>
    </r>
  </si>
  <si>
    <t xml:space="preserve">This worksheet is used to set up the game set up for class.  
In cell A2 of this workbook you can adjust the number of balance sheets needed.
Direct your computer to the desired printer using Excel's standard method before clicking "Generate Balance Sheets."
When you click the button, X unique worksheets will print be sent to your printer.
The same balance sheets will always print in the same order, so students can play more than 2 rounds.
Maintaining the order is important to match up to the curves presented
One trick is to point Excel to print to pdf, and this will create a pdf file that can be printed off later. 
The game is setup for up to 25 players, but 9ish is probably the minimum.
The cost function for a chair is quadratic, i.e., the form 
The coefficient a can be adjusted in cell B26
The default value was chosen because it generally works well over the range of 9-25 players.
Cells A34 and A36 provide the optimal number of chairs and the optimal tax for the instructors benefit. </t>
  </si>
  <si>
    <t>Below is the value of your production with and without a chair.
If you purchase a chair, enter the purchase price in your debit column.
If you sell a chair, enter the sale price in your credit column.
At the end of the round, sum all credits and all debits.
Net Revenue = Total Credits - Total Debits.</t>
  </si>
  <si>
    <t>Profit with carbon emission (chair)</t>
  </si>
  <si>
    <t>Profit without carbon emission (chair)</t>
  </si>
  <si>
    <t xml:space="preserve">This sheet is mostly for internal use.
It holds data for some calculations that run when you click "Setup Game."                                                                                               Cell C32 gives the optimal number of chairs.
The macros do not run correctly when this sheet is hidden. </t>
  </si>
  <si>
    <r>
      <t xml:space="preserve">Instructions for "For Want of a Chair"
</t>
    </r>
    <r>
      <rPr>
        <sz val="10"/>
        <rFont val="Arial"/>
        <family val="2"/>
      </rPr>
      <t>by Stefano Carattini, Eli P. Finchel, Alexander Gordan, and Patrick Gourley
The instructor only needs to interact with sheets "generate" and "gamesheet."
The other sheets enable some macros to run smoothly. Unfortunately, if these are hidden the 
macros do not run correctly. 
A Demo of the game is available at 
https://youtu.be/pe9BK9zYD5w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</si>
</sst>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quot;$&quot;#,##0"/>
    <numFmt numFmtId="165" formatCode="_(&quot;$&quot;* #,##0_);_(&quot;$&quot;* \(#,##0\);_(&quot;$&quot;* &quot;-&quot;??_);_(@_)"/>
    <numFmt numFmtId="166" formatCode="&quot;$&quot;#,##0.00"/>
  </numFmts>
  <fonts count="15" x14ac:knownFonts="1">
    <font>
      <sz val="10"/>
      <name val="Arial"/>
    </font>
    <font>
      <sz val="10"/>
      <name val="Arial"/>
      <family val="2"/>
    </font>
    <font>
      <sz val="10"/>
      <name val="Arial"/>
      <family val="2"/>
    </font>
    <font>
      <sz val="18"/>
      <name val="Arial"/>
      <family val="2"/>
    </font>
    <font>
      <b/>
      <sz val="10"/>
      <name val="Arial"/>
      <family val="2"/>
    </font>
    <font>
      <sz val="10"/>
      <name val="Arial"/>
      <family val="2"/>
    </font>
    <font>
      <sz val="11"/>
      <color theme="1"/>
      <name val="Calibri"/>
      <family val="2"/>
      <scheme val="minor"/>
    </font>
    <font>
      <sz val="11"/>
      <color theme="0"/>
      <name val="Calibri"/>
      <family val="2"/>
      <scheme val="minor"/>
    </font>
    <font>
      <u/>
      <sz val="10"/>
      <color theme="10"/>
      <name val="Arial"/>
      <family val="2"/>
    </font>
    <font>
      <sz val="10"/>
      <color rgb="FF000000"/>
      <name val="Arial"/>
      <family val="2"/>
    </font>
    <font>
      <sz val="11"/>
      <color rgb="FF006100"/>
      <name val="Calibri"/>
      <family val="2"/>
      <scheme val="minor"/>
    </font>
    <font>
      <b/>
      <sz val="20"/>
      <name val="Arial"/>
      <family val="2"/>
    </font>
    <font>
      <i/>
      <sz val="10"/>
      <name val="Arial"/>
      <family val="2"/>
    </font>
    <font>
      <sz val="28"/>
      <name val="Arial"/>
      <family val="2"/>
    </font>
    <font>
      <sz val="11"/>
      <color rgb="FF9C0006"/>
      <name val="Calibri"/>
      <family val="2"/>
      <scheme val="minor"/>
    </font>
  </fonts>
  <fills count="8">
    <fill>
      <patternFill patternType="none"/>
    </fill>
    <fill>
      <patternFill patternType="gray125"/>
    </fill>
    <fill>
      <patternFill patternType="solid">
        <fgColor theme="4" tint="0.59999389629810485"/>
        <bgColor indexed="65"/>
      </patternFill>
    </fill>
    <fill>
      <patternFill patternType="solid">
        <fgColor theme="4"/>
      </patternFill>
    </fill>
    <fill>
      <patternFill patternType="solid">
        <fgColor rgb="FFFFFF00"/>
        <bgColor indexed="64"/>
      </patternFill>
    </fill>
    <fill>
      <patternFill patternType="solid">
        <fgColor theme="1"/>
        <bgColor indexed="64"/>
      </patternFill>
    </fill>
    <fill>
      <patternFill patternType="solid">
        <fgColor rgb="FFC6EFCE"/>
      </patternFill>
    </fill>
    <fill>
      <patternFill patternType="solid">
        <fgColor rgb="FFFFC7CE"/>
      </patternFill>
    </fill>
  </fills>
  <borders count="18">
    <border>
      <left/>
      <right/>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style="medium">
        <color indexed="64"/>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top style="medium">
        <color auto="1"/>
      </top>
      <bottom/>
      <diagonal/>
    </border>
    <border>
      <left style="medium">
        <color auto="1"/>
      </left>
      <right/>
      <top/>
      <bottom/>
      <diagonal/>
    </border>
    <border>
      <left/>
      <right style="medium">
        <color auto="1"/>
      </right>
      <top/>
      <bottom/>
      <diagonal/>
    </border>
    <border>
      <left/>
      <right/>
      <top/>
      <bottom style="medium">
        <color auto="1"/>
      </bottom>
      <diagonal/>
    </border>
  </borders>
  <cellStyleXfs count="7">
    <xf numFmtId="0" fontId="0" fillId="0" borderId="0"/>
    <xf numFmtId="0" fontId="6" fillId="2" borderId="0" applyNumberFormat="0" applyBorder="0" applyAlignment="0" applyProtection="0"/>
    <xf numFmtId="0" fontId="7" fillId="3" borderId="0" applyNumberFormat="0" applyBorder="0" applyAlignment="0" applyProtection="0"/>
    <xf numFmtId="44" fontId="1" fillId="0" borderId="0" applyFont="0" applyFill="0" applyBorder="0" applyAlignment="0" applyProtection="0"/>
    <xf numFmtId="0" fontId="8" fillId="0" borderId="0" applyNumberFormat="0" applyFill="0" applyBorder="0" applyAlignment="0" applyProtection="0"/>
    <xf numFmtId="0" fontId="10" fillId="6" borderId="0" applyNumberFormat="0" applyBorder="0" applyAlignment="0" applyProtection="0"/>
    <xf numFmtId="0" fontId="14" fillId="7" borderId="0" applyNumberFormat="0" applyBorder="0" applyAlignment="0" applyProtection="0"/>
  </cellStyleXfs>
  <cellXfs count="82">
    <xf numFmtId="0" fontId="0" fillId="0" borderId="0" xfId="0"/>
    <xf numFmtId="164" fontId="3" fillId="0" borderId="0" xfId="0" applyNumberFormat="1" applyFont="1" applyAlignment="1">
      <alignment wrapText="1"/>
    </xf>
    <xf numFmtId="164" fontId="3" fillId="0" borderId="0" xfId="0" applyNumberFormat="1" applyFont="1"/>
    <xf numFmtId="0" fontId="2" fillId="0" borderId="0" xfId="0" applyFont="1"/>
    <xf numFmtId="44" fontId="0" fillId="0" borderId="0" xfId="3" applyFont="1"/>
    <xf numFmtId="44" fontId="0" fillId="0" borderId="0" xfId="0" applyNumberFormat="1"/>
    <xf numFmtId="0" fontId="0" fillId="4" borderId="0" xfId="0" applyFill="1"/>
    <xf numFmtId="0" fontId="0" fillId="0"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4" fillId="0" borderId="7" xfId="0" applyFont="1" applyBorder="1"/>
    <xf numFmtId="0" fontId="4" fillId="0" borderId="2" xfId="0" applyFont="1" applyBorder="1"/>
    <xf numFmtId="0" fontId="2" fillId="0" borderId="7" xfId="0" applyFont="1" applyBorder="1" applyAlignment="1">
      <alignment wrapText="1"/>
    </xf>
    <xf numFmtId="0" fontId="2" fillId="0" borderId="0" xfId="0" applyFont="1" applyBorder="1" applyAlignment="1">
      <alignment wrapText="1"/>
    </xf>
    <xf numFmtId="0" fontId="0" fillId="0" borderId="0" xfId="0" applyBorder="1"/>
    <xf numFmtId="0" fontId="2" fillId="0" borderId="0" xfId="0" applyFont="1" applyBorder="1"/>
    <xf numFmtId="0" fontId="4" fillId="0" borderId="0" xfId="0" applyFont="1"/>
    <xf numFmtId="0" fontId="4" fillId="0" borderId="0" xfId="0" applyFont="1" applyBorder="1"/>
    <xf numFmtId="0" fontId="0" fillId="0" borderId="8" xfId="0" applyBorder="1"/>
    <xf numFmtId="0" fontId="0" fillId="0" borderId="9" xfId="0" applyBorder="1"/>
    <xf numFmtId="0" fontId="0" fillId="0" borderId="0" xfId="3" applyNumberFormat="1" applyFont="1"/>
    <xf numFmtId="0" fontId="7" fillId="3" borderId="0" xfId="2"/>
    <xf numFmtId="44" fontId="7" fillId="3" borderId="0" xfId="2" applyNumberFormat="1"/>
    <xf numFmtId="0" fontId="6" fillId="2" borderId="0" xfId="1"/>
    <xf numFmtId="44" fontId="6" fillId="2" borderId="0" xfId="1" applyNumberFormat="1"/>
    <xf numFmtId="165" fontId="0" fillId="0" borderId="0" xfId="3" applyNumberFormat="1" applyFont="1"/>
    <xf numFmtId="165" fontId="5" fillId="4" borderId="0" xfId="3" applyNumberFormat="1" applyFont="1" applyFill="1"/>
    <xf numFmtId="165" fontId="0" fillId="0" borderId="0" xfId="0" applyNumberFormat="1"/>
    <xf numFmtId="165" fontId="0" fillId="0" borderId="7" xfId="0" applyNumberFormat="1" applyBorder="1"/>
    <xf numFmtId="0" fontId="4" fillId="0" borderId="0" xfId="0" applyFont="1" applyFill="1" applyBorder="1"/>
    <xf numFmtId="0" fontId="8" fillId="0" borderId="0" xfId="4"/>
    <xf numFmtId="0" fontId="1" fillId="0" borderId="0" xfId="0" applyFont="1"/>
    <xf numFmtId="164" fontId="1" fillId="0" borderId="0" xfId="0" applyNumberFormat="1" applyFont="1"/>
    <xf numFmtId="166" fontId="0" fillId="0" borderId="0" xfId="3" applyNumberFormat="1" applyFont="1"/>
    <xf numFmtId="166" fontId="5" fillId="4" borderId="0" xfId="3" applyNumberFormat="1" applyFont="1" applyFill="1"/>
    <xf numFmtId="165" fontId="0" fillId="5" borderId="0" xfId="3" applyNumberFormat="1" applyFont="1" applyFill="1"/>
    <xf numFmtId="165" fontId="0" fillId="4" borderId="0" xfId="3" applyNumberFormat="1" applyFont="1" applyFill="1"/>
    <xf numFmtId="0" fontId="10" fillId="6" borderId="0" xfId="5"/>
    <xf numFmtId="165" fontId="10" fillId="6" borderId="0" xfId="5" applyNumberFormat="1"/>
    <xf numFmtId="0" fontId="1" fillId="0" borderId="0" xfId="0" applyFont="1" applyBorder="1" applyAlignment="1">
      <alignment horizontal="left"/>
    </xf>
    <xf numFmtId="0" fontId="1" fillId="0" borderId="0" xfId="0" applyFont="1" applyBorder="1" applyAlignment="1">
      <alignment vertical="top"/>
    </xf>
    <xf numFmtId="0" fontId="1" fillId="0" borderId="0" xfId="0" applyFont="1" applyAlignment="1">
      <alignment horizontal="right"/>
    </xf>
    <xf numFmtId="165" fontId="0" fillId="0" borderId="0" xfId="0" applyNumberFormat="1" applyAlignment="1"/>
    <xf numFmtId="165" fontId="14" fillId="7" borderId="0" xfId="6" applyNumberFormat="1"/>
    <xf numFmtId="0" fontId="11" fillId="0" borderId="0" xfId="0" applyFont="1" applyAlignment="1">
      <alignment horizontal="left" vertical="center"/>
    </xf>
    <xf numFmtId="0" fontId="11" fillId="0" borderId="7" xfId="0" applyFont="1" applyBorder="1" applyAlignment="1">
      <alignment horizontal="left" vertical="center"/>
    </xf>
    <xf numFmtId="0" fontId="3" fillId="0" borderId="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0"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7" xfId="0" applyFont="1" applyBorder="1" applyAlignment="1">
      <alignment horizontal="center" vertical="center" wrapText="1"/>
    </xf>
    <xf numFmtId="0" fontId="3" fillId="0" borderId="6" xfId="0" applyFont="1" applyBorder="1" applyAlignment="1">
      <alignment horizontal="center" vertical="center" wrapText="1"/>
    </xf>
    <xf numFmtId="0" fontId="1" fillId="0" borderId="8" xfId="0" applyFont="1" applyBorder="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1" fillId="0" borderId="13" xfId="0" applyFont="1" applyBorder="1" applyAlignment="1">
      <alignment horizontal="left" vertical="top" wrapText="1"/>
    </xf>
    <xf numFmtId="0" fontId="1" fillId="0" borderId="2" xfId="0" applyFont="1" applyBorder="1" applyAlignment="1">
      <alignment horizontal="left" vertical="top" wrapText="1"/>
    </xf>
    <xf numFmtId="0" fontId="1" fillId="0" borderId="7" xfId="0" applyFont="1" applyBorder="1" applyAlignment="1">
      <alignment horizontal="left" vertical="top" wrapText="1"/>
    </xf>
    <xf numFmtId="0" fontId="1" fillId="0" borderId="12" xfId="0" applyFont="1" applyBorder="1" applyAlignment="1">
      <alignment horizontal="left" vertical="top" wrapText="1"/>
    </xf>
    <xf numFmtId="0" fontId="1" fillId="0" borderId="10" xfId="0" applyFont="1" applyBorder="1" applyAlignment="1">
      <alignment horizontal="left" vertical="top"/>
    </xf>
    <xf numFmtId="0" fontId="1" fillId="0" borderId="11" xfId="0" applyFont="1" applyBorder="1" applyAlignment="1">
      <alignment horizontal="left" vertical="top"/>
    </xf>
    <xf numFmtId="0" fontId="1" fillId="0" borderId="2" xfId="0" applyFont="1" applyBorder="1" applyAlignment="1">
      <alignment horizontal="left" vertical="top"/>
    </xf>
    <xf numFmtId="0" fontId="1" fillId="0" borderId="7" xfId="0" applyFont="1" applyBorder="1" applyAlignment="1">
      <alignment horizontal="left" vertical="top"/>
    </xf>
    <xf numFmtId="0" fontId="1" fillId="0" borderId="12" xfId="0" applyFont="1" applyBorder="1" applyAlignment="1">
      <alignment horizontal="left" vertical="top"/>
    </xf>
    <xf numFmtId="0" fontId="1" fillId="0" borderId="1" xfId="0" applyFont="1" applyBorder="1" applyAlignment="1">
      <alignment horizontal="left" vertical="top"/>
    </xf>
    <xf numFmtId="0" fontId="1" fillId="0" borderId="0" xfId="0" applyFont="1" applyBorder="1" applyAlignment="1">
      <alignment horizontal="left" vertical="top"/>
    </xf>
    <xf numFmtId="0" fontId="1" fillId="0" borderId="13" xfId="0" applyFont="1" applyBorder="1" applyAlignment="1">
      <alignment horizontal="left" vertical="top"/>
    </xf>
    <xf numFmtId="0" fontId="13" fillId="4" borderId="0" xfId="0" applyFont="1" applyFill="1" applyAlignment="1">
      <alignment horizontal="center" vertical="center"/>
    </xf>
    <xf numFmtId="0" fontId="4" fillId="4" borderId="0" xfId="0" applyFont="1" applyFill="1" applyAlignment="1">
      <alignment horizontal="center"/>
    </xf>
    <xf numFmtId="0" fontId="10" fillId="6" borderId="0" xfId="5" applyAlignment="1">
      <alignment horizontal="center"/>
    </xf>
    <xf numFmtId="0" fontId="1" fillId="0" borderId="0" xfId="0" applyFont="1" applyAlignment="1">
      <alignment horizontal="left" vertical="top" wrapText="1"/>
    </xf>
    <xf numFmtId="0" fontId="1" fillId="0" borderId="0" xfId="0" applyFont="1" applyAlignment="1">
      <alignment horizontal="center"/>
    </xf>
    <xf numFmtId="0" fontId="1" fillId="0" borderId="0" xfId="0" applyFont="1" applyAlignment="1">
      <alignment horizontal="left" vertical="center" wrapText="1"/>
    </xf>
  </cellXfs>
  <cellStyles count="7">
    <cellStyle name="40% - Accent1" xfId="1" builtinId="31"/>
    <cellStyle name="Accent1" xfId="2" builtinId="29"/>
    <cellStyle name="Bad" xfId="6" builtinId="27"/>
    <cellStyle name="Currency" xfId="3" builtinId="4"/>
    <cellStyle name="Good" xfId="5" builtinId="26"/>
    <cellStyle name="Hyperlink" xfId="4" builtinId="8"/>
    <cellStyle name="Normal" xfId="0" builtinId="0"/>
  </cellStyles>
  <dxfs count="1">
    <dxf>
      <fill>
        <gradientFill type="path" left="0.5" right="0.5" top="0.5" bottom="0.5">
          <stop position="0">
            <color theme="0"/>
          </stop>
          <stop position="1">
            <color theme="4"/>
          </stop>
        </gradient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256259287149254"/>
          <c:y val="4.4607043622415264E-2"/>
          <c:w val="0.6272004234764772"/>
          <c:h val="0.74759422398932807"/>
        </c:manualLayout>
      </c:layout>
      <c:scatterChart>
        <c:scatterStyle val="smoothMarker"/>
        <c:varyColors val="0"/>
        <c:ser>
          <c:idx val="0"/>
          <c:order val="0"/>
          <c:tx>
            <c:strRef>
              <c:f>find_best!$M$1</c:f>
              <c:strCache>
                <c:ptCount val="1"/>
                <c:pt idx="0">
                  <c:v>cost per chair</c:v>
                </c:pt>
              </c:strCache>
            </c:strRef>
          </c:tx>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find_best!$L$2:$L$26</c:f>
              <c:numCache>
                <c:formatCode>_("$"* #,##0_);_("$"* \(#,##0\);_("$"* "-"??_);_(@_)</c:formatCode>
                <c:ptCount val="25"/>
                <c:pt idx="0">
                  <c:v>42620.270799999998</c:v>
                </c:pt>
                <c:pt idx="1">
                  <c:v>46914.135600000001</c:v>
                </c:pt>
                <c:pt idx="2">
                  <c:v>50457.9542</c:v>
                </c:pt>
                <c:pt idx="3">
                  <c:v>53245.489400000006</c:v>
                </c:pt>
                <c:pt idx="4">
                  <c:v>55995.650500000003</c:v>
                </c:pt>
                <c:pt idx="5">
                  <c:v>58218.799200000001</c:v>
                </c:pt>
                <c:pt idx="6">
                  <c:v>60371.0193</c:v>
                </c:pt>
                <c:pt idx="7">
                  <c:v>61741.682200000003</c:v>
                </c:pt>
                <c:pt idx="8">
                  <c:v>62960.035099999994</c:v>
                </c:pt>
                <c:pt idx="9">
                  <c:v>63864.9571</c:v>
                </c:pt>
                <c:pt idx="10">
                  <c:v>64758.213499999998</c:v>
                </c:pt>
                <c:pt idx="11">
                  <c:v>65540.954599999997</c:v>
                </c:pt>
                <c:pt idx="12">
                  <c:v>66172.808900000004</c:v>
                </c:pt>
                <c:pt idx="13">
                  <c:v>66637.004300000001</c:v>
                </c:pt>
                <c:pt idx="14">
                  <c:v>66644.796699999992</c:v>
                </c:pt>
                <c:pt idx="15">
                  <c:v>0</c:v>
                </c:pt>
                <c:pt idx="16">
                  <c:v>0</c:v>
                </c:pt>
                <c:pt idx="17">
                  <c:v>0</c:v>
                </c:pt>
                <c:pt idx="18">
                  <c:v>0</c:v>
                </c:pt>
                <c:pt idx="19">
                  <c:v>0</c:v>
                </c:pt>
                <c:pt idx="20">
                  <c:v>0</c:v>
                </c:pt>
                <c:pt idx="21">
                  <c:v>0</c:v>
                </c:pt>
                <c:pt idx="22">
                  <c:v>0</c:v>
                </c:pt>
                <c:pt idx="23">
                  <c:v>0</c:v>
                </c:pt>
                <c:pt idx="24">
                  <c:v>0</c:v>
                </c:pt>
              </c:numCache>
            </c:numRef>
          </c:yVal>
          <c:smooth val="1"/>
          <c:extLst>
            <c:ext xmlns:c16="http://schemas.microsoft.com/office/drawing/2014/chart" uri="{C3380CC4-5D6E-409C-BE32-E72D297353CC}">
              <c16:uniqueId val="{00000000-3B57-4B42-BEA3-345897C41678}"/>
            </c:ext>
          </c:extLst>
        </c:ser>
        <c:dLbls>
          <c:showLegendKey val="0"/>
          <c:showVal val="0"/>
          <c:showCatName val="0"/>
          <c:showSerName val="0"/>
          <c:showPercent val="0"/>
          <c:showBubbleSize val="0"/>
        </c:dLbls>
        <c:axId val="585940096"/>
        <c:axId val="585935744"/>
      </c:scatterChart>
      <c:scatterChart>
        <c:scatterStyle val="smoothMarker"/>
        <c:varyColors val="0"/>
        <c:ser>
          <c:idx val="1"/>
          <c:order val="1"/>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find_best!$M$2:$M$26</c:f>
              <c:numCache>
                <c:formatCode>_("$"* #,##0_);_("$"* \(#,##0\);_("$"* "-"??_);_(@_)</c:formatCode>
                <c:ptCount val="25"/>
                <c:pt idx="0">
                  <c:v>65</c:v>
                </c:pt>
                <c:pt idx="1">
                  <c:v>260</c:v>
                </c:pt>
                <c:pt idx="2">
                  <c:v>585</c:v>
                </c:pt>
                <c:pt idx="3">
                  <c:v>1040</c:v>
                </c:pt>
                <c:pt idx="4">
                  <c:v>1625</c:v>
                </c:pt>
                <c:pt idx="5">
                  <c:v>2340</c:v>
                </c:pt>
                <c:pt idx="6">
                  <c:v>3185</c:v>
                </c:pt>
                <c:pt idx="7">
                  <c:v>4160</c:v>
                </c:pt>
                <c:pt idx="8">
                  <c:v>5265</c:v>
                </c:pt>
                <c:pt idx="9">
                  <c:v>6500</c:v>
                </c:pt>
                <c:pt idx="10">
                  <c:v>7865</c:v>
                </c:pt>
                <c:pt idx="11">
                  <c:v>9360</c:v>
                </c:pt>
                <c:pt idx="12">
                  <c:v>10985</c:v>
                </c:pt>
                <c:pt idx="13">
                  <c:v>12740</c:v>
                </c:pt>
                <c:pt idx="14">
                  <c:v>14625</c:v>
                </c:pt>
                <c:pt idx="15">
                  <c:v>0</c:v>
                </c:pt>
                <c:pt idx="16">
                  <c:v>0</c:v>
                </c:pt>
                <c:pt idx="17">
                  <c:v>0</c:v>
                </c:pt>
                <c:pt idx="18">
                  <c:v>0</c:v>
                </c:pt>
                <c:pt idx="19">
                  <c:v>0</c:v>
                </c:pt>
                <c:pt idx="20">
                  <c:v>0</c:v>
                </c:pt>
                <c:pt idx="21">
                  <c:v>0</c:v>
                </c:pt>
                <c:pt idx="22">
                  <c:v>0</c:v>
                </c:pt>
                <c:pt idx="23">
                  <c:v>0</c:v>
                </c:pt>
                <c:pt idx="24">
                  <c:v>0</c:v>
                </c:pt>
              </c:numCache>
            </c:numRef>
          </c:yVal>
          <c:smooth val="1"/>
          <c:extLst>
            <c:ext xmlns:c16="http://schemas.microsoft.com/office/drawing/2014/chart" uri="{C3380CC4-5D6E-409C-BE32-E72D297353CC}">
              <c16:uniqueId val="{00000001-3B57-4B42-BEA3-345897C41678}"/>
            </c:ext>
          </c:extLst>
        </c:ser>
        <c:dLbls>
          <c:showLegendKey val="0"/>
          <c:showVal val="0"/>
          <c:showCatName val="0"/>
          <c:showSerName val="0"/>
          <c:showPercent val="0"/>
          <c:showBubbleSize val="0"/>
        </c:dLbls>
        <c:axId val="585941728"/>
        <c:axId val="585930304"/>
      </c:scatterChart>
      <c:valAx>
        <c:axId val="58594009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chairs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5744"/>
        <c:crosses val="autoZero"/>
        <c:crossBetween val="midCat"/>
      </c:valAx>
      <c:valAx>
        <c:axId val="585935744"/>
        <c:scaling>
          <c:orientation val="minMax"/>
          <c:min val="3500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Cummulative Chair related profit</a:t>
                </a:r>
              </a:p>
            </c:rich>
          </c:tx>
          <c:layout>
            <c:manualLayout>
              <c:xMode val="edge"/>
              <c:yMode val="edge"/>
              <c:x val="3.2952440102741169E-2"/>
              <c:y val="9.0463692038495191E-2"/>
            </c:manualLayout>
          </c:layout>
          <c:overlay val="0"/>
        </c:title>
        <c:numFmt formatCode="_(&quot;$&quot;* #,##0_);_(&quot;$&quot;* \(#,##0\);_(&quot;$&quot;* &quot;-&quot;??_);_(@_)"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40096"/>
        <c:crosses val="autoZero"/>
        <c:crossBetween val="midCat"/>
        <c:majorUnit val="5000"/>
        <c:dispUnits>
          <c:builtInUnit val="thousands"/>
          <c:dispUnitsLbl>
            <c:layout>
              <c:manualLayout>
                <c:xMode val="edge"/>
                <c:yMode val="edge"/>
                <c:x val="6.6565914554798294E-2"/>
                <c:y val="0.28647973458763198"/>
              </c:manualLayout>
            </c:layout>
            <c:txPr>
              <a:bodyPr rot="-5400000" vert="horz"/>
              <a:lstStyle/>
              <a:p>
                <a:pPr algn="ctr">
                  <a:defRPr sz="1000" b="1" i="0" u="none" strike="noStrike" baseline="0">
                    <a:solidFill>
                      <a:srgbClr val="000000"/>
                    </a:solidFill>
                    <a:latin typeface="Calibri"/>
                    <a:ea typeface="Calibri"/>
                    <a:cs typeface="Calibri"/>
                  </a:defRPr>
                </a:pPr>
                <a:endParaRPr lang="en-US"/>
              </a:p>
            </c:txPr>
          </c:dispUnitsLbl>
        </c:dispUnits>
      </c:valAx>
      <c:valAx>
        <c:axId val="585941728"/>
        <c:scaling>
          <c:orientation val="minMax"/>
        </c:scaling>
        <c:delete val="1"/>
        <c:axPos val="b"/>
        <c:numFmt formatCode="General" sourceLinked="1"/>
        <c:majorTickMark val="out"/>
        <c:minorTickMark val="none"/>
        <c:tickLblPos val="nextTo"/>
        <c:crossAx val="585930304"/>
        <c:crosses val="autoZero"/>
        <c:crossBetween val="midCat"/>
      </c:valAx>
      <c:valAx>
        <c:axId val="585930304"/>
        <c:scaling>
          <c:orientation val="minMax"/>
        </c:scaling>
        <c:delete val="0"/>
        <c:axPos val="r"/>
        <c:numFmt formatCode="_(&quot;$&quot;* #,##0_);_(&quot;$&quot;* \(#,##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41728"/>
        <c:crosses val="max"/>
        <c:crossBetween val="midCat"/>
        <c:majorUnit val="5000"/>
        <c:dispUnits>
          <c:builtInUnit val="thousands"/>
        </c:dispUnits>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find_best!$G$2:$G$26</c:f>
              <c:numCache>
                <c:formatCode>"$"#,##0.00</c:formatCode>
                <c:ptCount val="25"/>
                <c:pt idx="0">
                  <c:v>8628.7445000000007</c:v>
                </c:pt>
                <c:pt idx="1">
                  <c:v>12532.6093</c:v>
                </c:pt>
                <c:pt idx="2">
                  <c:v>16921.427899999999</c:v>
                </c:pt>
                <c:pt idx="3">
                  <c:v>19513.963099999997</c:v>
                </c:pt>
                <c:pt idx="4">
                  <c:v>22069.124199999998</c:v>
                </c:pt>
                <c:pt idx="5">
                  <c:v>24097.2729</c:v>
                </c:pt>
                <c:pt idx="6">
                  <c:v>26509.492999999999</c:v>
                </c:pt>
                <c:pt idx="7">
                  <c:v>27295.155999999999</c:v>
                </c:pt>
                <c:pt idx="8">
                  <c:v>28643.508999999998</c:v>
                </c:pt>
                <c:pt idx="9">
                  <c:v>29613.430999999997</c:v>
                </c:pt>
                <c:pt idx="10">
                  <c:v>31156.687399999995</c:v>
                </c:pt>
                <c:pt idx="11">
                  <c:v>31874.428499999995</c:v>
                </c:pt>
                <c:pt idx="12">
                  <c:v>31986.282799999994</c:v>
                </c:pt>
                <c:pt idx="13">
                  <c:v>32580.478099999993</c:v>
                </c:pt>
                <c:pt idx="14">
                  <c:v>32848.270499999991</c:v>
                </c:pt>
                <c:pt idx="15">
                  <c:v>33173.270499999991</c:v>
                </c:pt>
                <c:pt idx="16">
                  <c:v>33173.270499999991</c:v>
                </c:pt>
                <c:pt idx="17">
                  <c:v>33173.270499999991</c:v>
                </c:pt>
                <c:pt idx="18">
                  <c:v>33173.270499999991</c:v>
                </c:pt>
                <c:pt idx="19">
                  <c:v>33173.270499999991</c:v>
                </c:pt>
                <c:pt idx="20">
                  <c:v>33173.270499999991</c:v>
                </c:pt>
                <c:pt idx="21">
                  <c:v>33173.270499999991</c:v>
                </c:pt>
                <c:pt idx="22">
                  <c:v>33173.270499999991</c:v>
                </c:pt>
                <c:pt idx="23">
                  <c:v>33173.270499999991</c:v>
                </c:pt>
                <c:pt idx="24">
                  <c:v>33173.270499999991</c:v>
                </c:pt>
              </c:numCache>
            </c:numRef>
          </c:yVal>
          <c:smooth val="1"/>
          <c:extLst>
            <c:ext xmlns:c16="http://schemas.microsoft.com/office/drawing/2014/chart" uri="{C3380CC4-5D6E-409C-BE32-E72D297353CC}">
              <c16:uniqueId val="{00000000-9C42-47A9-A0A2-43DB5F6F3325}"/>
            </c:ext>
          </c:extLst>
        </c:ser>
        <c:dLbls>
          <c:showLegendKey val="0"/>
          <c:showVal val="0"/>
          <c:showCatName val="0"/>
          <c:showSerName val="0"/>
          <c:showPercent val="0"/>
          <c:showBubbleSize val="0"/>
        </c:dLbls>
        <c:axId val="585938464"/>
        <c:axId val="585937920"/>
      </c:scatterChart>
      <c:valAx>
        <c:axId val="585938464"/>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Number of chairs allowed</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7920"/>
        <c:crosses val="autoZero"/>
        <c:crossBetween val="midCat"/>
      </c:valAx>
      <c:valAx>
        <c:axId val="585937920"/>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Net benefits from per chair allowed</a:t>
                </a:r>
              </a:p>
            </c:rich>
          </c:tx>
          <c:overlay val="0"/>
        </c:title>
        <c:numFmt formatCode="&quot;$&quot;#,##0.0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8464"/>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smoothMarker"/>
        <c:varyColors val="0"/>
        <c:ser>
          <c:idx val="0"/>
          <c:order val="0"/>
          <c:tx>
            <c:strRef>
              <c:f>find_best!$M$1</c:f>
              <c:strCache>
                <c:ptCount val="1"/>
                <c:pt idx="0">
                  <c:v>cost per chair</c:v>
                </c:pt>
              </c:strCache>
            </c:strRef>
          </c:tx>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find_best!$M$2:$M$26</c:f>
              <c:numCache>
                <c:formatCode>_("$"* #,##0_);_("$"* \(#,##0\);_("$"* "-"??_);_(@_)</c:formatCode>
                <c:ptCount val="25"/>
                <c:pt idx="0">
                  <c:v>65</c:v>
                </c:pt>
                <c:pt idx="1">
                  <c:v>260</c:v>
                </c:pt>
                <c:pt idx="2">
                  <c:v>585</c:v>
                </c:pt>
                <c:pt idx="3">
                  <c:v>1040</c:v>
                </c:pt>
                <c:pt idx="4">
                  <c:v>1625</c:v>
                </c:pt>
                <c:pt idx="5">
                  <c:v>2340</c:v>
                </c:pt>
                <c:pt idx="6">
                  <c:v>3185</c:v>
                </c:pt>
                <c:pt idx="7">
                  <c:v>4160</c:v>
                </c:pt>
                <c:pt idx="8">
                  <c:v>5265</c:v>
                </c:pt>
                <c:pt idx="9">
                  <c:v>6500</c:v>
                </c:pt>
                <c:pt idx="10">
                  <c:v>7865</c:v>
                </c:pt>
                <c:pt idx="11">
                  <c:v>9360</c:v>
                </c:pt>
                <c:pt idx="12">
                  <c:v>10985</c:v>
                </c:pt>
                <c:pt idx="13">
                  <c:v>12740</c:v>
                </c:pt>
                <c:pt idx="14">
                  <c:v>14625</c:v>
                </c:pt>
                <c:pt idx="15">
                  <c:v>0</c:v>
                </c:pt>
                <c:pt idx="16">
                  <c:v>0</c:v>
                </c:pt>
                <c:pt idx="17">
                  <c:v>0</c:v>
                </c:pt>
                <c:pt idx="18">
                  <c:v>0</c:v>
                </c:pt>
                <c:pt idx="19">
                  <c:v>0</c:v>
                </c:pt>
                <c:pt idx="20">
                  <c:v>0</c:v>
                </c:pt>
                <c:pt idx="21">
                  <c:v>0</c:v>
                </c:pt>
                <c:pt idx="22">
                  <c:v>0</c:v>
                </c:pt>
                <c:pt idx="23">
                  <c:v>0</c:v>
                </c:pt>
                <c:pt idx="24">
                  <c:v>0</c:v>
                </c:pt>
              </c:numCache>
            </c:numRef>
          </c:yVal>
          <c:smooth val="1"/>
          <c:extLst>
            <c:ext xmlns:c16="http://schemas.microsoft.com/office/drawing/2014/chart" uri="{C3380CC4-5D6E-409C-BE32-E72D297353CC}">
              <c16:uniqueId val="{00000000-BEBF-4AB8-88C6-B4570E1024AA}"/>
            </c:ext>
          </c:extLst>
        </c:ser>
        <c:dLbls>
          <c:showLegendKey val="0"/>
          <c:showVal val="0"/>
          <c:showCatName val="0"/>
          <c:showSerName val="0"/>
          <c:showPercent val="0"/>
          <c:showBubbleSize val="0"/>
        </c:dLbls>
        <c:axId val="585931936"/>
        <c:axId val="585933024"/>
      </c:scatterChart>
      <c:valAx>
        <c:axId val="585931936"/>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chairs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3024"/>
        <c:crosses val="autoZero"/>
        <c:crossBetween val="midCat"/>
      </c:valAx>
      <c:valAx>
        <c:axId val="585933024"/>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Social cost</a:t>
                </a:r>
              </a:p>
            </c:rich>
          </c:tx>
          <c:overlay val="0"/>
        </c:title>
        <c:numFmt formatCode="_(&quot;$&quot;* #,##0_);_(&quot;$&quot;* \(#,##0\);_(&quot;$&quot;* &quot;-&quot;??_);_(@_)"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193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find_best!$M$1</c:f>
              <c:strCache>
                <c:ptCount val="1"/>
                <c:pt idx="0">
                  <c:v>cost per chair</c:v>
                </c:pt>
              </c:strCache>
            </c:strRef>
          </c:tx>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find_best!$E$2:$E$26</c:f>
              <c:numCache>
                <c:formatCode>"$"#,##0</c:formatCode>
                <c:ptCount val="25"/>
                <c:pt idx="0">
                  <c:v>9148.7445000000007</c:v>
                </c:pt>
                <c:pt idx="1">
                  <c:v>4293.8648000000003</c:v>
                </c:pt>
                <c:pt idx="2">
                  <c:v>3543.8186000000001</c:v>
                </c:pt>
                <c:pt idx="3">
                  <c:v>2787.5351999999998</c:v>
                </c:pt>
                <c:pt idx="4">
                  <c:v>2750.1610999999998</c:v>
                </c:pt>
                <c:pt idx="5">
                  <c:v>2223.1487000000002</c:v>
                </c:pt>
                <c:pt idx="6">
                  <c:v>2152.2201</c:v>
                </c:pt>
                <c:pt idx="7">
                  <c:v>1370.663</c:v>
                </c:pt>
                <c:pt idx="8">
                  <c:v>1218.3530000000001</c:v>
                </c:pt>
                <c:pt idx="9">
                  <c:v>904.92200000000003</c:v>
                </c:pt>
                <c:pt idx="10">
                  <c:v>893.25639999999999</c:v>
                </c:pt>
                <c:pt idx="11">
                  <c:v>782.74109999999996</c:v>
                </c:pt>
                <c:pt idx="12">
                  <c:v>631.85429999999997</c:v>
                </c:pt>
                <c:pt idx="13">
                  <c:v>464.19529999999997</c:v>
                </c:pt>
                <c:pt idx="14">
                  <c:v>7.7923999999999998</c:v>
                </c:pt>
              </c:numCache>
            </c:numRef>
          </c:yVal>
          <c:smooth val="1"/>
          <c:extLst>
            <c:ext xmlns:c16="http://schemas.microsoft.com/office/drawing/2014/chart" uri="{C3380CC4-5D6E-409C-BE32-E72D297353CC}">
              <c16:uniqueId val="{00000000-8393-448D-8DA6-D139C6163FEF}"/>
            </c:ext>
          </c:extLst>
        </c:ser>
        <c:dLbls>
          <c:showLegendKey val="0"/>
          <c:showVal val="0"/>
          <c:showCatName val="0"/>
          <c:showSerName val="0"/>
          <c:showPercent val="0"/>
          <c:showBubbleSize val="0"/>
        </c:dLbls>
        <c:axId val="585934112"/>
        <c:axId val="585934656"/>
      </c:scatterChart>
      <c:valAx>
        <c:axId val="585934112"/>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US"/>
                  <a:t>chairs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4656"/>
        <c:crosses val="autoZero"/>
        <c:crossBetween val="midCat"/>
      </c:valAx>
      <c:valAx>
        <c:axId val="58593465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Chair related profit</a:t>
                </a:r>
              </a:p>
            </c:rich>
          </c:tx>
          <c:overlay val="0"/>
        </c:title>
        <c:numFmt formatCode="&quot;$&quot;#,##0"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411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256259287149254"/>
          <c:y val="4.4607043622415264E-2"/>
          <c:w val="0.6272004234764772"/>
          <c:h val="0.74759422398932807"/>
        </c:manualLayout>
      </c:layout>
      <c:scatterChart>
        <c:scatterStyle val="smoothMarker"/>
        <c:varyColors val="0"/>
        <c:ser>
          <c:idx val="0"/>
          <c:order val="0"/>
          <c:tx>
            <c:strRef>
              <c:f>find_best!$M$1</c:f>
              <c:strCache>
                <c:ptCount val="1"/>
                <c:pt idx="0">
                  <c:v>cost per chair</c:v>
                </c:pt>
              </c:strCache>
            </c:strRef>
          </c:tx>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find_best!$L$2:$L$26</c:f>
              <c:numCache>
                <c:formatCode>_("$"* #,##0_);_("$"* \(#,##0\);_("$"* "-"??_);_(@_)</c:formatCode>
                <c:ptCount val="25"/>
                <c:pt idx="0">
                  <c:v>42620.270799999998</c:v>
                </c:pt>
                <c:pt idx="1">
                  <c:v>46914.135600000001</c:v>
                </c:pt>
                <c:pt idx="2">
                  <c:v>50457.9542</c:v>
                </c:pt>
                <c:pt idx="3">
                  <c:v>53245.489400000006</c:v>
                </c:pt>
                <c:pt idx="4">
                  <c:v>55995.650500000003</c:v>
                </c:pt>
                <c:pt idx="5">
                  <c:v>58218.799200000001</c:v>
                </c:pt>
                <c:pt idx="6">
                  <c:v>60371.0193</c:v>
                </c:pt>
                <c:pt idx="7">
                  <c:v>61741.682200000003</c:v>
                </c:pt>
                <c:pt idx="8">
                  <c:v>62960.035099999994</c:v>
                </c:pt>
                <c:pt idx="9">
                  <c:v>63864.9571</c:v>
                </c:pt>
                <c:pt idx="10">
                  <c:v>64758.213499999998</c:v>
                </c:pt>
                <c:pt idx="11">
                  <c:v>65540.954599999997</c:v>
                </c:pt>
                <c:pt idx="12">
                  <c:v>66172.808900000004</c:v>
                </c:pt>
                <c:pt idx="13">
                  <c:v>66637.004300000001</c:v>
                </c:pt>
                <c:pt idx="14">
                  <c:v>66644.796699999992</c:v>
                </c:pt>
                <c:pt idx="15">
                  <c:v>0</c:v>
                </c:pt>
                <c:pt idx="16">
                  <c:v>0</c:v>
                </c:pt>
                <c:pt idx="17">
                  <c:v>0</c:v>
                </c:pt>
                <c:pt idx="18">
                  <c:v>0</c:v>
                </c:pt>
                <c:pt idx="19">
                  <c:v>0</c:v>
                </c:pt>
                <c:pt idx="20">
                  <c:v>0</c:v>
                </c:pt>
                <c:pt idx="21">
                  <c:v>0</c:v>
                </c:pt>
                <c:pt idx="22">
                  <c:v>0</c:v>
                </c:pt>
                <c:pt idx="23">
                  <c:v>0</c:v>
                </c:pt>
                <c:pt idx="24">
                  <c:v>0</c:v>
                </c:pt>
              </c:numCache>
            </c:numRef>
          </c:yVal>
          <c:smooth val="1"/>
          <c:extLst>
            <c:ext xmlns:c16="http://schemas.microsoft.com/office/drawing/2014/chart" uri="{C3380CC4-5D6E-409C-BE32-E72D297353CC}">
              <c16:uniqueId val="{00000000-2BCF-489C-91F5-70DD369FF112}"/>
            </c:ext>
          </c:extLst>
        </c:ser>
        <c:dLbls>
          <c:showLegendKey val="0"/>
          <c:showVal val="0"/>
          <c:showCatName val="0"/>
          <c:showSerName val="0"/>
          <c:showPercent val="0"/>
          <c:showBubbleSize val="0"/>
        </c:dLbls>
        <c:axId val="585940096"/>
        <c:axId val="585935744"/>
      </c:scatterChart>
      <c:scatterChart>
        <c:scatterStyle val="smoothMarker"/>
        <c:varyColors val="0"/>
        <c:ser>
          <c:idx val="1"/>
          <c:order val="1"/>
          <c:xVal>
            <c:numRef>
              <c:f>find_best!$A$2:$A$26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find_best!$M$2:$M$26</c:f>
              <c:numCache>
                <c:formatCode>_("$"* #,##0_);_("$"* \(#,##0\);_("$"* "-"??_);_(@_)</c:formatCode>
                <c:ptCount val="25"/>
                <c:pt idx="0">
                  <c:v>65</c:v>
                </c:pt>
                <c:pt idx="1">
                  <c:v>260</c:v>
                </c:pt>
                <c:pt idx="2">
                  <c:v>585</c:v>
                </c:pt>
                <c:pt idx="3">
                  <c:v>1040</c:v>
                </c:pt>
                <c:pt idx="4">
                  <c:v>1625</c:v>
                </c:pt>
                <c:pt idx="5">
                  <c:v>2340</c:v>
                </c:pt>
                <c:pt idx="6">
                  <c:v>3185</c:v>
                </c:pt>
                <c:pt idx="7">
                  <c:v>4160</c:v>
                </c:pt>
                <c:pt idx="8">
                  <c:v>5265</c:v>
                </c:pt>
                <c:pt idx="9">
                  <c:v>6500</c:v>
                </c:pt>
                <c:pt idx="10">
                  <c:v>7865</c:v>
                </c:pt>
                <c:pt idx="11">
                  <c:v>9360</c:v>
                </c:pt>
                <c:pt idx="12">
                  <c:v>10985</c:v>
                </c:pt>
                <c:pt idx="13">
                  <c:v>12740</c:v>
                </c:pt>
                <c:pt idx="14">
                  <c:v>14625</c:v>
                </c:pt>
                <c:pt idx="15">
                  <c:v>0</c:v>
                </c:pt>
                <c:pt idx="16">
                  <c:v>0</c:v>
                </c:pt>
                <c:pt idx="17">
                  <c:v>0</c:v>
                </c:pt>
                <c:pt idx="18">
                  <c:v>0</c:v>
                </c:pt>
                <c:pt idx="19">
                  <c:v>0</c:v>
                </c:pt>
                <c:pt idx="20">
                  <c:v>0</c:v>
                </c:pt>
                <c:pt idx="21">
                  <c:v>0</c:v>
                </c:pt>
                <c:pt idx="22">
                  <c:v>0</c:v>
                </c:pt>
                <c:pt idx="23">
                  <c:v>0</c:v>
                </c:pt>
                <c:pt idx="24">
                  <c:v>0</c:v>
                </c:pt>
              </c:numCache>
            </c:numRef>
          </c:yVal>
          <c:smooth val="1"/>
          <c:extLst>
            <c:ext xmlns:c16="http://schemas.microsoft.com/office/drawing/2014/chart" uri="{C3380CC4-5D6E-409C-BE32-E72D297353CC}">
              <c16:uniqueId val="{00000001-2BCF-489C-91F5-70DD369FF112}"/>
            </c:ext>
          </c:extLst>
        </c:ser>
        <c:dLbls>
          <c:showLegendKey val="0"/>
          <c:showVal val="0"/>
          <c:showCatName val="0"/>
          <c:showSerName val="0"/>
          <c:showPercent val="0"/>
          <c:showBubbleSize val="0"/>
        </c:dLbls>
        <c:axId val="585941728"/>
        <c:axId val="585930304"/>
      </c:scatterChart>
      <c:valAx>
        <c:axId val="585940096"/>
        <c:scaling>
          <c:orientation val="minMax"/>
          <c:max val="25"/>
        </c:scaling>
        <c:delete val="0"/>
        <c:axPos val="b"/>
        <c:title>
          <c:tx>
            <c:rich>
              <a:bodyPr/>
              <a:lstStyle/>
              <a:p>
                <a:pPr>
                  <a:defRPr sz="1000" b="1" i="0" u="none" strike="noStrike" baseline="0">
                    <a:solidFill>
                      <a:srgbClr val="000000"/>
                    </a:solidFill>
                    <a:latin typeface="Calibri"/>
                    <a:ea typeface="Calibri"/>
                    <a:cs typeface="Calibri"/>
                  </a:defRPr>
                </a:pPr>
                <a:r>
                  <a:rPr lang="en-US"/>
                  <a:t>chairs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35744"/>
        <c:crosses val="autoZero"/>
        <c:crossBetween val="midCat"/>
      </c:valAx>
      <c:valAx>
        <c:axId val="585935744"/>
        <c:scaling>
          <c:orientation val="minMax"/>
          <c:min val="3500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Cummulative Chair related profit</a:t>
                </a:r>
              </a:p>
            </c:rich>
          </c:tx>
          <c:layout>
            <c:manualLayout>
              <c:xMode val="edge"/>
              <c:yMode val="edge"/>
              <c:x val="3.2952440102741169E-2"/>
              <c:y val="9.0463692038495191E-2"/>
            </c:manualLayout>
          </c:layout>
          <c:overlay val="0"/>
        </c:title>
        <c:numFmt formatCode="_(&quot;$&quot;* #,##0_);_(&quot;$&quot;* \(#,##0\);_(&quot;$&quot;* &quot;-&quot;??_);_(@_)"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40096"/>
        <c:crosses val="autoZero"/>
        <c:crossBetween val="midCat"/>
        <c:majorUnit val="5000"/>
        <c:dispUnits>
          <c:builtInUnit val="thousands"/>
          <c:dispUnitsLbl>
            <c:layout>
              <c:manualLayout>
                <c:xMode val="edge"/>
                <c:yMode val="edge"/>
                <c:x val="6.6565914554798294E-2"/>
                <c:y val="0.28647973458763198"/>
              </c:manualLayout>
            </c:layout>
            <c:txPr>
              <a:bodyPr rot="-5400000" vert="horz"/>
              <a:lstStyle/>
              <a:p>
                <a:pPr algn="ctr">
                  <a:defRPr sz="1000" b="1" i="0" u="none" strike="noStrike" baseline="0">
                    <a:solidFill>
                      <a:srgbClr val="000000"/>
                    </a:solidFill>
                    <a:latin typeface="Calibri"/>
                    <a:ea typeface="Calibri"/>
                    <a:cs typeface="Calibri"/>
                  </a:defRPr>
                </a:pPr>
                <a:endParaRPr lang="en-US"/>
              </a:p>
            </c:txPr>
          </c:dispUnitsLbl>
        </c:dispUnits>
      </c:valAx>
      <c:valAx>
        <c:axId val="585941728"/>
        <c:scaling>
          <c:orientation val="minMax"/>
        </c:scaling>
        <c:delete val="1"/>
        <c:axPos val="b"/>
        <c:numFmt formatCode="General" sourceLinked="1"/>
        <c:majorTickMark val="out"/>
        <c:minorTickMark val="none"/>
        <c:tickLblPos val="nextTo"/>
        <c:crossAx val="585930304"/>
        <c:crosses val="autoZero"/>
        <c:crossBetween val="midCat"/>
      </c:valAx>
      <c:valAx>
        <c:axId val="585930304"/>
        <c:scaling>
          <c:orientation val="minMax"/>
        </c:scaling>
        <c:delete val="0"/>
        <c:axPos val="r"/>
        <c:numFmt formatCode="_(&quot;$&quot;* #,##0_);_(&quot;$&quot;* \(#,##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85941728"/>
        <c:crosses val="max"/>
        <c:crossBetween val="midCat"/>
        <c:majorUnit val="5000"/>
        <c:dispUnits>
          <c:builtInUnit val="thousands"/>
        </c:dispUnits>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6</xdr:col>
      <xdr:colOff>12668</xdr:colOff>
      <xdr:row>21</xdr:row>
      <xdr:rowOff>160813</xdr:rowOff>
    </xdr:from>
    <xdr:ext cx="654988" cy="175369"/>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670268" y="3837463"/>
              <a:ext cx="65498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𝑐h𝑎𝑖</m:t>
                    </m:r>
                    <m:sSup>
                      <m:sSupPr>
                        <m:ctrlPr>
                          <a:rPr lang="en-US" sz="1100" b="0" i="1">
                            <a:latin typeface="Cambria Math" panose="02040503050406030204" pitchFamily="18" charset="0"/>
                          </a:rPr>
                        </m:ctrlPr>
                      </m:sSupPr>
                      <m:e>
                        <m:r>
                          <a:rPr lang="en-US" sz="1100" b="0" i="1">
                            <a:latin typeface="Cambria Math" panose="02040503050406030204" pitchFamily="18" charset="0"/>
                          </a:rPr>
                          <m:t>𝑟</m:t>
                        </m:r>
                      </m:e>
                      <m:sup>
                        <m:r>
                          <a:rPr lang="en-US" sz="1100" b="0" i="1">
                            <a:latin typeface="Cambria Math" panose="02040503050406030204" pitchFamily="18" charset="0"/>
                          </a:rPr>
                          <m:t>2</m:t>
                        </m:r>
                      </m:sup>
                    </m:sSup>
                  </m:oMath>
                </m:oMathPara>
              </a14:m>
              <a:endParaRPr lang="en-US" sz="1100"/>
            </a:p>
          </xdr:txBody>
        </xdr:sp>
      </mc:Choice>
      <mc:Fallback xmlns="">
        <xdr:sp macro="" textlink="">
          <xdr:nvSpPr>
            <xdr:cNvPr id="2" name="TextBox 1">
              <a:extLst>
                <a:ext uri="{FF2B5EF4-FFF2-40B4-BE49-F238E27FC236}">
                  <a16:creationId xmlns:a16="http://schemas.microsoft.com/office/drawing/2014/main" id="{A7F8A85A-9A5C-47D7-AD8E-28D351E5F0F8}"/>
                </a:ext>
              </a:extLst>
            </xdr:cNvPr>
            <xdr:cNvSpPr txBox="1"/>
          </xdr:nvSpPr>
          <xdr:spPr>
            <a:xfrm>
              <a:off x="3670268" y="3837463"/>
              <a:ext cx="65498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𝑎∗𝑐ℎ𝑎𝑖𝑟^2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38100</xdr:rowOff>
        </xdr:from>
        <xdr:to>
          <xdr:col>5</xdr:col>
          <xdr:colOff>66675</xdr:colOff>
          <xdr:row>6</xdr:row>
          <xdr:rowOff>180975</xdr:rowOff>
        </xdr:to>
        <xdr:sp macro="" textlink="">
          <xdr:nvSpPr>
            <xdr:cNvPr id="599041" name="CommandButton1" hidden="1">
              <a:extLst>
                <a:ext uri="{63B3BB69-23CF-44E3-9099-C40C66FF867C}">
                  <a14:compatExt spid="_x0000_s599041"/>
                </a:ext>
                <a:ext uri="{FF2B5EF4-FFF2-40B4-BE49-F238E27FC236}">
                  <a16:creationId xmlns:a16="http://schemas.microsoft.com/office/drawing/2014/main" id="{00000000-0008-0000-0100-0000012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28</xdr:row>
          <xdr:rowOff>38100</xdr:rowOff>
        </xdr:from>
        <xdr:to>
          <xdr:col>4</xdr:col>
          <xdr:colOff>57150</xdr:colOff>
          <xdr:row>31</xdr:row>
          <xdr:rowOff>142875</xdr:rowOff>
        </xdr:to>
        <xdr:sp macro="" textlink="">
          <xdr:nvSpPr>
            <xdr:cNvPr id="599042" name="Button 2" hidden="1">
              <a:extLst>
                <a:ext uri="{63B3BB69-23CF-44E3-9099-C40C66FF867C}">
                  <a14:compatExt spid="_x0000_s599042"/>
                </a:ext>
                <a:ext uri="{FF2B5EF4-FFF2-40B4-BE49-F238E27FC236}">
                  <a16:creationId xmlns:a16="http://schemas.microsoft.com/office/drawing/2014/main" id="{00000000-0008-0000-0100-0000022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Setup Game</a:t>
              </a:r>
            </a:p>
          </xdr:txBody>
        </xdr:sp>
        <xdr:clientData fPrintsWithSheet="0"/>
      </xdr:twoCellAnchor>
    </mc:Choice>
    <mc:Fallback/>
  </mc:AlternateContent>
  <xdr:oneCellAnchor>
    <xdr:from>
      <xdr:col>5</xdr:col>
      <xdr:colOff>3143</xdr:colOff>
      <xdr:row>18</xdr:row>
      <xdr:rowOff>160813</xdr:rowOff>
    </xdr:from>
    <xdr:ext cx="654988" cy="175369"/>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051143" y="3104038"/>
              <a:ext cx="65498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𝑎</m:t>
                    </m:r>
                    <m:r>
                      <a:rPr lang="en-US" sz="1100" b="0" i="1">
                        <a:latin typeface="Cambria Math" panose="02040503050406030204" pitchFamily="18" charset="0"/>
                      </a:rPr>
                      <m:t>∗</m:t>
                    </m:r>
                    <m:r>
                      <a:rPr lang="en-US" sz="1100" b="0" i="1">
                        <a:latin typeface="Cambria Math" panose="02040503050406030204" pitchFamily="18" charset="0"/>
                      </a:rPr>
                      <m:t>𝑐h𝑎𝑖</m:t>
                    </m:r>
                    <m:sSup>
                      <m:sSupPr>
                        <m:ctrlPr>
                          <a:rPr lang="en-US" sz="1100" b="0" i="1">
                            <a:latin typeface="Cambria Math" panose="02040503050406030204" pitchFamily="18" charset="0"/>
                          </a:rPr>
                        </m:ctrlPr>
                      </m:sSupPr>
                      <m:e>
                        <m:r>
                          <a:rPr lang="en-US" sz="1100" b="0" i="1">
                            <a:latin typeface="Cambria Math" panose="02040503050406030204" pitchFamily="18" charset="0"/>
                          </a:rPr>
                          <m:t>𝑟</m:t>
                        </m:r>
                      </m:e>
                      <m:sup>
                        <m:r>
                          <a:rPr lang="en-US" sz="1100" b="0" i="1">
                            <a:latin typeface="Cambria Math" panose="02040503050406030204" pitchFamily="18" charset="0"/>
                          </a:rPr>
                          <m:t>2</m:t>
                        </m:r>
                      </m:sup>
                    </m:sSup>
                  </m:oMath>
                </m:oMathPara>
              </a14:m>
              <a:endParaRPr lang="en-US" sz="1100"/>
            </a:p>
          </xdr:txBody>
        </xdr:sp>
      </mc:Choice>
      <mc:Fallback xmlns="">
        <xdr:sp macro="" textlink="">
          <xdr:nvSpPr>
            <xdr:cNvPr id="2" name="TextBox 1">
              <a:extLst>
                <a:ext uri="{FF2B5EF4-FFF2-40B4-BE49-F238E27FC236}">
                  <a16:creationId xmlns:a16="http://schemas.microsoft.com/office/drawing/2014/main" id="{C717DED3-B84D-4871-A7DD-D07353057568}"/>
                </a:ext>
              </a:extLst>
            </xdr:cNvPr>
            <xdr:cNvSpPr txBox="1"/>
          </xdr:nvSpPr>
          <xdr:spPr>
            <a:xfrm>
              <a:off x="3051143" y="3104038"/>
              <a:ext cx="654988"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𝑎∗𝑐ℎ𝑎𝑖𝑟^2</a:t>
              </a:r>
              <a:endParaRPr lang="en-US"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10</xdr:col>
      <xdr:colOff>209550</xdr:colOff>
      <xdr:row>2</xdr:row>
      <xdr:rowOff>104775</xdr:rowOff>
    </xdr:from>
    <xdr:to>
      <xdr:col>21</xdr:col>
      <xdr:colOff>428625</xdr:colOff>
      <xdr:row>29</xdr:row>
      <xdr:rowOff>66675</xdr:rowOff>
    </xdr:to>
    <xdr:graphicFrame macro="">
      <xdr:nvGraphicFramePr>
        <xdr:cNvPr id="3" name="Chart 7">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0.91439</cdr:x>
      <cdr:y>0.06668</cdr:y>
    </cdr:from>
    <cdr:to>
      <cdr:x>0.98042</cdr:x>
      <cdr:y>0.78127</cdr:y>
    </cdr:to>
    <cdr:sp macro="" textlink="">
      <cdr:nvSpPr>
        <cdr:cNvPr id="2" name="TextBox 1"/>
        <cdr:cNvSpPr txBox="1"/>
      </cdr:nvSpPr>
      <cdr:spPr>
        <a:xfrm xmlns:a="http://schemas.openxmlformats.org/drawingml/2006/main" rot="16200000">
          <a:off x="4348165" y="1038224"/>
          <a:ext cx="2047875" cy="3714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t>Social</a:t>
          </a:r>
          <a:r>
            <a:rPr lang="en-US" sz="1100" b="1" baseline="0"/>
            <a:t> cost chairs, thousands</a:t>
          </a:r>
          <a:endParaRPr lang="en-US" sz="1100" b="1"/>
        </a:p>
      </cdr:txBody>
    </cdr:sp>
  </cdr:relSizeAnchor>
  <cdr:relSizeAnchor xmlns:cdr="http://schemas.openxmlformats.org/drawingml/2006/chartDrawing">
    <cdr:from>
      <cdr:x>0.91439</cdr:x>
      <cdr:y>0.06668</cdr:y>
    </cdr:from>
    <cdr:to>
      <cdr:x>0.98042</cdr:x>
      <cdr:y>0.78127</cdr:y>
    </cdr:to>
    <cdr:sp macro="" textlink="">
      <cdr:nvSpPr>
        <cdr:cNvPr id="7" name="TextBox 1"/>
        <cdr:cNvSpPr txBox="1"/>
      </cdr:nvSpPr>
      <cdr:spPr>
        <a:xfrm xmlns:a="http://schemas.openxmlformats.org/drawingml/2006/main" rot="16200000">
          <a:off x="4348165" y="1038224"/>
          <a:ext cx="2047875" cy="3714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t>Social</a:t>
          </a:r>
          <a:r>
            <a:rPr lang="en-US" sz="1100" b="1" baseline="0"/>
            <a:t> cost chairs, thousands</a:t>
          </a:r>
          <a:endParaRPr lang="en-US" sz="11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57150</xdr:colOff>
      <xdr:row>34</xdr:row>
      <xdr:rowOff>133350</xdr:rowOff>
    </xdr:from>
    <xdr:to>
      <xdr:col>6</xdr:col>
      <xdr:colOff>419100</xdr:colOff>
      <xdr:row>51</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85725</xdr:colOff>
      <xdr:row>0</xdr:row>
      <xdr:rowOff>0</xdr:rowOff>
    </xdr:from>
    <xdr:to>
      <xdr:col>22</xdr:col>
      <xdr:colOff>390525</xdr:colOff>
      <xdr:row>16</xdr:row>
      <xdr:rowOff>152400</xdr:rowOff>
    </xdr:to>
    <xdr:graphicFrame macro="">
      <xdr:nvGraphicFramePr>
        <xdr:cNvPr id="3" name="Chart 3">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17</xdr:row>
      <xdr:rowOff>57150</xdr:rowOff>
    </xdr:from>
    <xdr:to>
      <xdr:col>22</xdr:col>
      <xdr:colOff>323850</xdr:colOff>
      <xdr:row>38</xdr:row>
      <xdr:rowOff>47625</xdr:rowOff>
    </xdr:to>
    <xdr:graphicFrame macro="">
      <xdr:nvGraphicFramePr>
        <xdr:cNvPr id="4" name="Chart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474345</xdr:colOff>
      <xdr:row>34</xdr:row>
      <xdr:rowOff>123825</xdr:rowOff>
    </xdr:from>
    <xdr:to>
      <xdr:col>12</xdr:col>
      <xdr:colOff>316230</xdr:colOff>
      <xdr:row>52</xdr:row>
      <xdr:rowOff>95250</xdr:rowOff>
    </xdr:to>
    <xdr:graphicFrame macro="">
      <xdr:nvGraphicFramePr>
        <xdr:cNvPr id="5" name="Chart 7">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0.91439</cdr:x>
      <cdr:y>0.06668</cdr:y>
    </cdr:from>
    <cdr:to>
      <cdr:x>0.98042</cdr:x>
      <cdr:y>0.78127</cdr:y>
    </cdr:to>
    <cdr:sp macro="" textlink="">
      <cdr:nvSpPr>
        <cdr:cNvPr id="2" name="TextBox 1"/>
        <cdr:cNvSpPr txBox="1"/>
      </cdr:nvSpPr>
      <cdr:spPr>
        <a:xfrm xmlns:a="http://schemas.openxmlformats.org/drawingml/2006/main" rot="16200000">
          <a:off x="4348165" y="1038224"/>
          <a:ext cx="2047875" cy="3714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t>Social</a:t>
          </a:r>
          <a:r>
            <a:rPr lang="en-US" sz="1100" b="1" baseline="0"/>
            <a:t> cost chairs, thousands</a:t>
          </a:r>
          <a:endParaRPr lang="en-US" sz="1100" b="1"/>
        </a:p>
      </cdr:txBody>
    </cdr:sp>
  </cdr:relSizeAnchor>
  <cdr:relSizeAnchor xmlns:cdr="http://schemas.openxmlformats.org/drawingml/2006/chartDrawing">
    <cdr:from>
      <cdr:x>0.91439</cdr:x>
      <cdr:y>0.06668</cdr:y>
    </cdr:from>
    <cdr:to>
      <cdr:x>0.98042</cdr:x>
      <cdr:y>0.78127</cdr:y>
    </cdr:to>
    <cdr:sp macro="" textlink="">
      <cdr:nvSpPr>
        <cdr:cNvPr id="7" name="TextBox 1"/>
        <cdr:cNvSpPr txBox="1"/>
      </cdr:nvSpPr>
      <cdr:spPr>
        <a:xfrm xmlns:a="http://schemas.openxmlformats.org/drawingml/2006/main" rot="16200000">
          <a:off x="4348165" y="1038224"/>
          <a:ext cx="2047875" cy="3714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b="1"/>
            <a:t>Social</a:t>
          </a:r>
          <a:r>
            <a:rPr lang="en-US" sz="1100" b="1" baseline="0"/>
            <a:t> cost chairs, thousands</a:t>
          </a:r>
          <a:endParaRPr lang="en-US" sz="1100" b="1"/>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T59"/>
  <sheetViews>
    <sheetView tabSelected="1" workbookViewId="0">
      <selection activeCell="B1" sqref="B1:L10"/>
    </sheetView>
  </sheetViews>
  <sheetFormatPr defaultRowHeight="12.75" x14ac:dyDescent="0.2"/>
  <sheetData>
    <row r="1" spans="2:12" ht="23.25" customHeight="1" x14ac:dyDescent="0.2">
      <c r="B1" s="50" t="s">
        <v>66</v>
      </c>
      <c r="C1" s="51"/>
      <c r="D1" s="51"/>
      <c r="E1" s="51"/>
      <c r="F1" s="51"/>
      <c r="G1" s="51"/>
      <c r="H1" s="51"/>
      <c r="I1" s="51"/>
      <c r="J1" s="51"/>
      <c r="K1" s="51"/>
      <c r="L1" s="52"/>
    </row>
    <row r="2" spans="2:12" ht="23.25" customHeight="1" x14ac:dyDescent="0.2">
      <c r="B2" s="53"/>
      <c r="C2" s="54"/>
      <c r="D2" s="54"/>
      <c r="E2" s="54"/>
      <c r="F2" s="54"/>
      <c r="G2" s="54"/>
      <c r="H2" s="54"/>
      <c r="I2" s="54"/>
      <c r="J2" s="54"/>
      <c r="K2" s="54"/>
      <c r="L2" s="55"/>
    </row>
    <row r="3" spans="2:12" x14ac:dyDescent="0.2">
      <c r="B3" s="53"/>
      <c r="C3" s="54"/>
      <c r="D3" s="54"/>
      <c r="E3" s="54"/>
      <c r="F3" s="54"/>
      <c r="G3" s="54"/>
      <c r="H3" s="54"/>
      <c r="I3" s="54"/>
      <c r="J3" s="54"/>
      <c r="K3" s="54"/>
      <c r="L3" s="55"/>
    </row>
    <row r="4" spans="2:12" ht="12.75" customHeight="1" x14ac:dyDescent="0.2">
      <c r="B4" s="53"/>
      <c r="C4" s="54"/>
      <c r="D4" s="54"/>
      <c r="E4" s="54"/>
      <c r="F4" s="54"/>
      <c r="G4" s="54"/>
      <c r="H4" s="54"/>
      <c r="I4" s="54"/>
      <c r="J4" s="54"/>
      <c r="K4" s="54"/>
      <c r="L4" s="55"/>
    </row>
    <row r="5" spans="2:12" x14ac:dyDescent="0.2">
      <c r="B5" s="53"/>
      <c r="C5" s="54"/>
      <c r="D5" s="54"/>
      <c r="E5" s="54"/>
      <c r="F5" s="54"/>
      <c r="G5" s="54"/>
      <c r="H5" s="54"/>
      <c r="I5" s="54"/>
      <c r="J5" s="54"/>
      <c r="K5" s="54"/>
      <c r="L5" s="55"/>
    </row>
    <row r="6" spans="2:12" x14ac:dyDescent="0.2">
      <c r="B6" s="53"/>
      <c r="C6" s="54"/>
      <c r="D6" s="54"/>
      <c r="E6" s="54"/>
      <c r="F6" s="54"/>
      <c r="G6" s="54"/>
      <c r="H6" s="54"/>
      <c r="I6" s="54"/>
      <c r="J6" s="54"/>
      <c r="K6" s="54"/>
      <c r="L6" s="55"/>
    </row>
    <row r="7" spans="2:12" x14ac:dyDescent="0.2">
      <c r="B7" s="53"/>
      <c r="C7" s="54"/>
      <c r="D7" s="54"/>
      <c r="E7" s="54"/>
      <c r="F7" s="54"/>
      <c r="G7" s="54"/>
      <c r="H7" s="54"/>
      <c r="I7" s="54"/>
      <c r="J7" s="54"/>
      <c r="K7" s="54"/>
      <c r="L7" s="55"/>
    </row>
    <row r="8" spans="2:12" x14ac:dyDescent="0.2">
      <c r="B8" s="53"/>
      <c r="C8" s="54"/>
      <c r="D8" s="54"/>
      <c r="E8" s="54"/>
      <c r="F8" s="54"/>
      <c r="G8" s="54"/>
      <c r="H8" s="54"/>
      <c r="I8" s="54"/>
      <c r="J8" s="54"/>
      <c r="K8" s="54"/>
      <c r="L8" s="55"/>
    </row>
    <row r="9" spans="2:12" x14ac:dyDescent="0.2">
      <c r="B9" s="53"/>
      <c r="C9" s="54"/>
      <c r="D9" s="54"/>
      <c r="E9" s="54"/>
      <c r="F9" s="54"/>
      <c r="G9" s="54"/>
      <c r="H9" s="54"/>
      <c r="I9" s="54"/>
      <c r="J9" s="54"/>
      <c r="K9" s="54"/>
      <c r="L9" s="55"/>
    </row>
    <row r="10" spans="2:12" ht="13.5" thickBot="1" x14ac:dyDescent="0.25">
      <c r="B10" s="56"/>
      <c r="C10" s="57"/>
      <c r="D10" s="57"/>
      <c r="E10" s="57"/>
      <c r="F10" s="57"/>
      <c r="G10" s="57"/>
      <c r="H10" s="57"/>
      <c r="I10" s="57"/>
      <c r="J10" s="57"/>
      <c r="K10" s="57"/>
      <c r="L10" s="58"/>
    </row>
    <row r="11" spans="2:12" x14ac:dyDescent="0.2">
      <c r="B11" s="43"/>
      <c r="C11" s="43"/>
      <c r="D11" s="43"/>
      <c r="E11" s="43"/>
      <c r="F11" s="43"/>
      <c r="G11" s="43"/>
      <c r="H11" s="43"/>
      <c r="I11" s="43"/>
      <c r="J11" s="43"/>
      <c r="K11" s="43"/>
      <c r="L11" s="43"/>
    </row>
    <row r="12" spans="2:12" ht="12.75" customHeight="1" x14ac:dyDescent="0.2">
      <c r="B12" s="48" t="s">
        <v>47</v>
      </c>
      <c r="C12" s="48"/>
      <c r="D12" s="48"/>
      <c r="E12" s="48"/>
    </row>
    <row r="13" spans="2:12" ht="12.75" customHeight="1" x14ac:dyDescent="0.2">
      <c r="B13" s="49"/>
      <c r="C13" s="49"/>
      <c r="D13" s="49"/>
      <c r="E13" s="49"/>
    </row>
    <row r="14" spans="2:12" ht="12.75" customHeight="1" x14ac:dyDescent="0.2">
      <c r="B14" s="59" t="s">
        <v>60</v>
      </c>
      <c r="C14" s="60"/>
      <c r="D14" s="60"/>
      <c r="E14" s="60"/>
      <c r="F14" s="60"/>
      <c r="G14" s="60"/>
      <c r="H14" s="60"/>
      <c r="I14" s="60"/>
      <c r="J14" s="60"/>
      <c r="K14" s="60"/>
      <c r="L14" s="61"/>
    </row>
    <row r="15" spans="2:12" x14ac:dyDescent="0.2">
      <c r="B15" s="62"/>
      <c r="C15" s="63"/>
      <c r="D15" s="63"/>
      <c r="E15" s="63"/>
      <c r="F15" s="63"/>
      <c r="G15" s="63"/>
      <c r="H15" s="63"/>
      <c r="I15" s="63"/>
      <c r="J15" s="63"/>
      <c r="K15" s="63"/>
      <c r="L15" s="64"/>
    </row>
    <row r="16" spans="2:12" x14ac:dyDescent="0.2">
      <c r="B16" s="62"/>
      <c r="C16" s="63"/>
      <c r="D16" s="63"/>
      <c r="E16" s="63"/>
      <c r="F16" s="63"/>
      <c r="G16" s="63"/>
      <c r="H16" s="63"/>
      <c r="I16" s="63"/>
      <c r="J16" s="63"/>
      <c r="K16" s="63"/>
      <c r="L16" s="64"/>
    </row>
    <row r="17" spans="2:20" x14ac:dyDescent="0.2">
      <c r="B17" s="62"/>
      <c r="C17" s="63"/>
      <c r="D17" s="63"/>
      <c r="E17" s="63"/>
      <c r="F17" s="63"/>
      <c r="G17" s="63"/>
      <c r="H17" s="63"/>
      <c r="I17" s="63"/>
      <c r="J17" s="63"/>
      <c r="K17" s="63"/>
      <c r="L17" s="64"/>
    </row>
    <row r="18" spans="2:20" x14ac:dyDescent="0.2">
      <c r="B18" s="62"/>
      <c r="C18" s="63"/>
      <c r="D18" s="63"/>
      <c r="E18" s="63"/>
      <c r="F18" s="63"/>
      <c r="G18" s="63"/>
      <c r="H18" s="63"/>
      <c r="I18" s="63"/>
      <c r="J18" s="63"/>
      <c r="K18" s="63"/>
      <c r="L18" s="64"/>
      <c r="T18" s="35"/>
    </row>
    <row r="19" spans="2:20" x14ac:dyDescent="0.2">
      <c r="B19" s="62"/>
      <c r="C19" s="63"/>
      <c r="D19" s="63"/>
      <c r="E19" s="63"/>
      <c r="F19" s="63"/>
      <c r="G19" s="63"/>
      <c r="H19" s="63"/>
      <c r="I19" s="63"/>
      <c r="J19" s="63"/>
      <c r="K19" s="63"/>
      <c r="L19" s="64"/>
      <c r="T19" s="35"/>
    </row>
    <row r="20" spans="2:20" x14ac:dyDescent="0.2">
      <c r="B20" s="62"/>
      <c r="C20" s="63"/>
      <c r="D20" s="63"/>
      <c r="E20" s="63"/>
      <c r="F20" s="63"/>
      <c r="G20" s="63"/>
      <c r="H20" s="63"/>
      <c r="I20" s="63"/>
      <c r="J20" s="63"/>
      <c r="K20" s="63"/>
      <c r="L20" s="64"/>
    </row>
    <row r="21" spans="2:20" x14ac:dyDescent="0.2">
      <c r="B21" s="62"/>
      <c r="C21" s="63"/>
      <c r="D21" s="63"/>
      <c r="E21" s="63"/>
      <c r="F21" s="63"/>
      <c r="G21" s="63"/>
      <c r="H21" s="63"/>
      <c r="I21" s="63"/>
      <c r="J21" s="63"/>
      <c r="K21" s="63"/>
      <c r="L21" s="64"/>
    </row>
    <row r="22" spans="2:20" x14ac:dyDescent="0.2">
      <c r="B22" s="62"/>
      <c r="C22" s="63"/>
      <c r="D22" s="63"/>
      <c r="E22" s="63"/>
      <c r="F22" s="63"/>
      <c r="G22" s="63"/>
      <c r="H22" s="63"/>
      <c r="I22" s="63"/>
      <c r="J22" s="63"/>
      <c r="K22" s="63"/>
      <c r="L22" s="64"/>
      <c r="T22" s="35"/>
    </row>
    <row r="23" spans="2:20" x14ac:dyDescent="0.2">
      <c r="B23" s="62"/>
      <c r="C23" s="63"/>
      <c r="D23" s="63"/>
      <c r="E23" s="63"/>
      <c r="F23" s="63"/>
      <c r="G23" s="63"/>
      <c r="H23" s="63"/>
      <c r="I23" s="63"/>
      <c r="J23" s="63"/>
      <c r="K23" s="63"/>
      <c r="L23" s="64"/>
      <c r="T23" s="35"/>
    </row>
    <row r="24" spans="2:20" x14ac:dyDescent="0.2">
      <c r="B24" s="62"/>
      <c r="C24" s="63"/>
      <c r="D24" s="63"/>
      <c r="E24" s="63"/>
      <c r="F24" s="63"/>
      <c r="G24" s="63"/>
      <c r="H24" s="63"/>
      <c r="I24" s="63"/>
      <c r="J24" s="63"/>
      <c r="K24" s="63"/>
      <c r="L24" s="64"/>
    </row>
    <row r="25" spans="2:20" x14ac:dyDescent="0.2">
      <c r="B25" s="62"/>
      <c r="C25" s="63"/>
      <c r="D25" s="63"/>
      <c r="E25" s="63"/>
      <c r="F25" s="63"/>
      <c r="G25" s="63"/>
      <c r="H25" s="63"/>
      <c r="I25" s="63"/>
      <c r="J25" s="63"/>
      <c r="K25" s="63"/>
      <c r="L25" s="64"/>
    </row>
    <row r="26" spans="2:20" x14ac:dyDescent="0.2">
      <c r="B26" s="62"/>
      <c r="C26" s="63"/>
      <c r="D26" s="63"/>
      <c r="E26" s="63"/>
      <c r="F26" s="63"/>
      <c r="G26" s="63"/>
      <c r="H26" s="63"/>
      <c r="I26" s="63"/>
      <c r="J26" s="63"/>
      <c r="K26" s="63"/>
      <c r="L26" s="64"/>
    </row>
    <row r="27" spans="2:20" x14ac:dyDescent="0.2">
      <c r="B27" s="65"/>
      <c r="C27" s="66"/>
      <c r="D27" s="66"/>
      <c r="E27" s="66"/>
      <c r="F27" s="66"/>
      <c r="G27" s="66"/>
      <c r="H27" s="66"/>
      <c r="I27" s="66"/>
      <c r="J27" s="66"/>
      <c r="K27" s="66"/>
      <c r="L27" s="67"/>
    </row>
    <row r="28" spans="2:20" x14ac:dyDescent="0.2">
      <c r="B28" s="44"/>
      <c r="C28" s="44"/>
      <c r="D28" s="44"/>
      <c r="E28" s="44"/>
      <c r="F28" s="44"/>
      <c r="G28" s="44"/>
      <c r="H28" s="44"/>
      <c r="I28" s="44"/>
      <c r="J28" s="44"/>
      <c r="K28" s="44"/>
      <c r="L28" s="44"/>
    </row>
    <row r="29" spans="2:20" ht="12.75" customHeight="1" x14ac:dyDescent="0.2">
      <c r="B29" s="48" t="s">
        <v>48</v>
      </c>
      <c r="C29" s="48"/>
      <c r="D29" s="48"/>
      <c r="E29" s="48"/>
    </row>
    <row r="30" spans="2:20" ht="12.75" customHeight="1" x14ac:dyDescent="0.2">
      <c r="B30" s="49"/>
      <c r="C30" s="49"/>
      <c r="D30" s="49"/>
      <c r="E30" s="49"/>
    </row>
    <row r="31" spans="2:20" ht="12.75" customHeight="1" x14ac:dyDescent="0.2">
      <c r="B31" s="59" t="s">
        <v>58</v>
      </c>
      <c r="C31" s="60"/>
      <c r="D31" s="60"/>
      <c r="E31" s="60"/>
      <c r="F31" s="60"/>
      <c r="G31" s="60"/>
      <c r="H31" s="60"/>
      <c r="I31" s="60"/>
      <c r="J31" s="60"/>
      <c r="K31" s="60"/>
      <c r="L31" s="61"/>
    </row>
    <row r="32" spans="2:20" x14ac:dyDescent="0.2">
      <c r="B32" s="62"/>
      <c r="C32" s="63"/>
      <c r="D32" s="63"/>
      <c r="E32" s="63"/>
      <c r="F32" s="63"/>
      <c r="G32" s="63"/>
      <c r="H32" s="63"/>
      <c r="I32" s="63"/>
      <c r="J32" s="63"/>
      <c r="K32" s="63"/>
      <c r="L32" s="64"/>
    </row>
    <row r="33" spans="2:12" x14ac:dyDescent="0.2">
      <c r="B33" s="62"/>
      <c r="C33" s="63"/>
      <c r="D33" s="63"/>
      <c r="E33" s="63"/>
      <c r="F33" s="63"/>
      <c r="G33" s="63"/>
      <c r="H33" s="63"/>
      <c r="I33" s="63"/>
      <c r="J33" s="63"/>
      <c r="K33" s="63"/>
      <c r="L33" s="64"/>
    </row>
    <row r="34" spans="2:12" x14ac:dyDescent="0.2">
      <c r="B34" s="62"/>
      <c r="C34" s="63"/>
      <c r="D34" s="63"/>
      <c r="E34" s="63"/>
      <c r="F34" s="63"/>
      <c r="G34" s="63"/>
      <c r="H34" s="63"/>
      <c r="I34" s="63"/>
      <c r="J34" s="63"/>
      <c r="K34" s="63"/>
      <c r="L34" s="64"/>
    </row>
    <row r="35" spans="2:12" x14ac:dyDescent="0.2">
      <c r="B35" s="62"/>
      <c r="C35" s="63"/>
      <c r="D35" s="63"/>
      <c r="E35" s="63"/>
      <c r="F35" s="63"/>
      <c r="G35" s="63"/>
      <c r="H35" s="63"/>
      <c r="I35" s="63"/>
      <c r="J35" s="63"/>
      <c r="K35" s="63"/>
      <c r="L35" s="64"/>
    </row>
    <row r="36" spans="2:12" x14ac:dyDescent="0.2">
      <c r="B36" s="62"/>
      <c r="C36" s="63"/>
      <c r="D36" s="63"/>
      <c r="E36" s="63"/>
      <c r="F36" s="63"/>
      <c r="G36" s="63"/>
      <c r="H36" s="63"/>
      <c r="I36" s="63"/>
      <c r="J36" s="63"/>
      <c r="K36" s="63"/>
      <c r="L36" s="64"/>
    </row>
    <row r="37" spans="2:12" x14ac:dyDescent="0.2">
      <c r="B37" s="62"/>
      <c r="C37" s="63"/>
      <c r="D37" s="63"/>
      <c r="E37" s="63"/>
      <c r="F37" s="63"/>
      <c r="G37" s="63"/>
      <c r="H37" s="63"/>
      <c r="I37" s="63"/>
      <c r="J37" s="63"/>
      <c r="K37" s="63"/>
      <c r="L37" s="64"/>
    </row>
    <row r="38" spans="2:12" x14ac:dyDescent="0.2">
      <c r="B38" s="62"/>
      <c r="C38" s="63"/>
      <c r="D38" s="63"/>
      <c r="E38" s="63"/>
      <c r="F38" s="63"/>
      <c r="G38" s="63"/>
      <c r="H38" s="63"/>
      <c r="I38" s="63"/>
      <c r="J38" s="63"/>
      <c r="K38" s="63"/>
      <c r="L38" s="64"/>
    </row>
    <row r="39" spans="2:12" x14ac:dyDescent="0.2">
      <c r="B39" s="62"/>
      <c r="C39" s="63"/>
      <c r="D39" s="63"/>
      <c r="E39" s="63"/>
      <c r="F39" s="63"/>
      <c r="G39" s="63"/>
      <c r="H39" s="63"/>
      <c r="I39" s="63"/>
      <c r="J39" s="63"/>
      <c r="K39" s="63"/>
      <c r="L39" s="64"/>
    </row>
    <row r="40" spans="2:12" x14ac:dyDescent="0.2">
      <c r="B40" s="62"/>
      <c r="C40" s="63"/>
      <c r="D40" s="63"/>
      <c r="E40" s="63"/>
      <c r="F40" s="63"/>
      <c r="G40" s="63"/>
      <c r="H40" s="63"/>
      <c r="I40" s="63"/>
      <c r="J40" s="63"/>
      <c r="K40" s="63"/>
      <c r="L40" s="64"/>
    </row>
    <row r="41" spans="2:12" x14ac:dyDescent="0.2">
      <c r="B41" s="65"/>
      <c r="C41" s="66"/>
      <c r="D41" s="66"/>
      <c r="E41" s="66"/>
      <c r="F41" s="66"/>
      <c r="G41" s="66"/>
      <c r="H41" s="66"/>
      <c r="I41" s="66"/>
      <c r="J41" s="66"/>
      <c r="K41" s="66"/>
      <c r="L41" s="67"/>
    </row>
    <row r="42" spans="2:12" x14ac:dyDescent="0.2">
      <c r="B42" s="43"/>
      <c r="C42" s="43"/>
      <c r="D42" s="43"/>
      <c r="E42" s="43"/>
      <c r="F42" s="43"/>
      <c r="G42" s="43"/>
      <c r="H42" s="43"/>
      <c r="I42" s="43"/>
      <c r="J42" s="43"/>
      <c r="K42" s="43"/>
      <c r="L42" s="43"/>
    </row>
    <row r="43" spans="2:12" ht="12.75" customHeight="1" x14ac:dyDescent="0.2">
      <c r="B43" s="48" t="s">
        <v>49</v>
      </c>
      <c r="C43" s="48"/>
      <c r="D43" s="48"/>
      <c r="E43" s="48"/>
    </row>
    <row r="44" spans="2:12" ht="12.75" customHeight="1" x14ac:dyDescent="0.2">
      <c r="B44" s="48"/>
      <c r="C44" s="48"/>
      <c r="D44" s="48"/>
      <c r="E44" s="48"/>
    </row>
    <row r="45" spans="2:12" x14ac:dyDescent="0.2">
      <c r="B45" s="59" t="s">
        <v>55</v>
      </c>
      <c r="C45" s="68"/>
      <c r="D45" s="68"/>
      <c r="E45" s="68"/>
      <c r="F45" s="68"/>
      <c r="G45" s="68"/>
      <c r="H45" s="68"/>
      <c r="I45" s="68"/>
      <c r="J45" s="68"/>
      <c r="K45" s="68"/>
      <c r="L45" s="69"/>
    </row>
    <row r="46" spans="2:12" x14ac:dyDescent="0.2">
      <c r="B46" s="70"/>
      <c r="C46" s="71"/>
      <c r="D46" s="71"/>
      <c r="E46" s="71"/>
      <c r="F46" s="71"/>
      <c r="G46" s="71"/>
      <c r="H46" s="71"/>
      <c r="I46" s="71"/>
      <c r="J46" s="71"/>
      <c r="K46" s="71"/>
      <c r="L46" s="72"/>
    </row>
    <row r="47" spans="2:12" x14ac:dyDescent="0.2">
      <c r="B47" s="35"/>
    </row>
    <row r="48" spans="2:12" ht="12.75" customHeight="1" x14ac:dyDescent="0.2">
      <c r="B48" s="48" t="s">
        <v>50</v>
      </c>
      <c r="C48" s="48"/>
      <c r="D48" s="48"/>
      <c r="E48" s="48"/>
    </row>
    <row r="49" spans="2:12" ht="12.75" customHeight="1" x14ac:dyDescent="0.2">
      <c r="B49" s="48"/>
      <c r="C49" s="48"/>
      <c r="D49" s="48"/>
      <c r="E49" s="48"/>
    </row>
    <row r="50" spans="2:12" x14ac:dyDescent="0.2">
      <c r="B50" s="59" t="s">
        <v>56</v>
      </c>
      <c r="C50" s="68"/>
      <c r="D50" s="68"/>
      <c r="E50" s="68"/>
      <c r="F50" s="68"/>
      <c r="G50" s="68"/>
      <c r="H50" s="68"/>
      <c r="I50" s="68"/>
      <c r="J50" s="68"/>
      <c r="K50" s="68"/>
      <c r="L50" s="69"/>
    </row>
    <row r="51" spans="2:12" x14ac:dyDescent="0.2">
      <c r="B51" s="70"/>
      <c r="C51" s="71"/>
      <c r="D51" s="71"/>
      <c r="E51" s="71"/>
      <c r="F51" s="71"/>
      <c r="G51" s="71"/>
      <c r="H51" s="71"/>
      <c r="I51" s="71"/>
      <c r="J51" s="71"/>
      <c r="K51" s="71"/>
      <c r="L51" s="72"/>
    </row>
    <row r="52" spans="2:12" x14ac:dyDescent="0.2">
      <c r="B52" s="35"/>
    </row>
    <row r="53" spans="2:12" x14ac:dyDescent="0.2">
      <c r="B53" s="48" t="s">
        <v>51</v>
      </c>
      <c r="C53" s="48"/>
      <c r="D53" s="48"/>
      <c r="E53" s="48"/>
    </row>
    <row r="54" spans="2:12" x14ac:dyDescent="0.2">
      <c r="B54" s="48"/>
      <c r="C54" s="48"/>
      <c r="D54" s="48"/>
      <c r="E54" s="48"/>
    </row>
    <row r="55" spans="2:12" x14ac:dyDescent="0.2">
      <c r="B55" s="59" t="s">
        <v>65</v>
      </c>
      <c r="C55" s="68"/>
      <c r="D55" s="68"/>
      <c r="E55" s="68"/>
      <c r="F55" s="68"/>
      <c r="G55" s="68"/>
      <c r="H55" s="68"/>
      <c r="I55" s="68"/>
      <c r="J55" s="68"/>
      <c r="K55" s="68"/>
      <c r="L55" s="69"/>
    </row>
    <row r="56" spans="2:12" x14ac:dyDescent="0.2">
      <c r="B56" s="73"/>
      <c r="C56" s="74"/>
      <c r="D56" s="74"/>
      <c r="E56" s="74"/>
      <c r="F56" s="74"/>
      <c r="G56" s="74"/>
      <c r="H56" s="74"/>
      <c r="I56" s="74"/>
      <c r="J56" s="74"/>
      <c r="K56" s="74"/>
      <c r="L56" s="75"/>
    </row>
    <row r="57" spans="2:12" x14ac:dyDescent="0.2">
      <c r="B57" s="73"/>
      <c r="C57" s="74"/>
      <c r="D57" s="74"/>
      <c r="E57" s="74"/>
      <c r="F57" s="74"/>
      <c r="G57" s="74"/>
      <c r="H57" s="74"/>
      <c r="I57" s="74"/>
      <c r="J57" s="74"/>
      <c r="K57" s="74"/>
      <c r="L57" s="75"/>
    </row>
    <row r="58" spans="2:12" x14ac:dyDescent="0.2">
      <c r="B58" s="73"/>
      <c r="C58" s="74"/>
      <c r="D58" s="74"/>
      <c r="E58" s="74"/>
      <c r="F58" s="74"/>
      <c r="G58" s="74"/>
      <c r="H58" s="74"/>
      <c r="I58" s="74"/>
      <c r="J58" s="74"/>
      <c r="K58" s="74"/>
      <c r="L58" s="75"/>
    </row>
    <row r="59" spans="2:12" x14ac:dyDescent="0.2">
      <c r="B59" s="70"/>
      <c r="C59" s="71"/>
      <c r="D59" s="71"/>
      <c r="E59" s="71"/>
      <c r="F59" s="71"/>
      <c r="G59" s="71"/>
      <c r="H59" s="71"/>
      <c r="I59" s="71"/>
      <c r="J59" s="71"/>
      <c r="K59" s="71"/>
      <c r="L59" s="72"/>
    </row>
  </sheetData>
  <mergeCells count="11">
    <mergeCell ref="B53:E54"/>
    <mergeCell ref="B45:L46"/>
    <mergeCell ref="B50:L51"/>
    <mergeCell ref="B55:L59"/>
    <mergeCell ref="B48:E49"/>
    <mergeCell ref="B29:E30"/>
    <mergeCell ref="B12:E13"/>
    <mergeCell ref="B43:E44"/>
    <mergeCell ref="B1:L10"/>
    <mergeCell ref="B14:L27"/>
    <mergeCell ref="B31:L4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O41"/>
  <sheetViews>
    <sheetView workbookViewId="0">
      <selection activeCell="A36" sqref="A36"/>
    </sheetView>
  </sheetViews>
  <sheetFormatPr defaultRowHeight="12.75" x14ac:dyDescent="0.2"/>
  <cols>
    <col min="1" max="1" width="9.140625" customWidth="1"/>
    <col min="10" max="10" width="9.140625" customWidth="1"/>
  </cols>
  <sheetData>
    <row r="1" spans="1:12" ht="12.75" customHeight="1" x14ac:dyDescent="0.2">
      <c r="A1" s="3" t="s">
        <v>35</v>
      </c>
      <c r="H1" s="79" t="s">
        <v>59</v>
      </c>
      <c r="I1" s="79"/>
      <c r="J1" s="79"/>
      <c r="K1" s="79"/>
      <c r="L1" s="79"/>
    </row>
    <row r="2" spans="1:12" x14ac:dyDescent="0.2">
      <c r="A2" s="76">
        <v>15</v>
      </c>
      <c r="H2" s="79"/>
      <c r="I2" s="79"/>
      <c r="J2" s="79"/>
      <c r="K2" s="79"/>
      <c r="L2" s="79"/>
    </row>
    <row r="3" spans="1:12" x14ac:dyDescent="0.2">
      <c r="A3" s="76"/>
      <c r="H3" s="79"/>
      <c r="I3" s="79"/>
      <c r="J3" s="79"/>
      <c r="K3" s="79"/>
      <c r="L3" s="79"/>
    </row>
    <row r="4" spans="1:12" x14ac:dyDescent="0.2">
      <c r="A4" s="76"/>
      <c r="H4" s="79"/>
      <c r="I4" s="79"/>
      <c r="J4" s="79"/>
      <c r="K4" s="79"/>
      <c r="L4" s="79"/>
    </row>
    <row r="5" spans="1:12" x14ac:dyDescent="0.2">
      <c r="A5" s="76"/>
    </row>
    <row r="6" spans="1:12" x14ac:dyDescent="0.2">
      <c r="H6" s="77" t="s">
        <v>52</v>
      </c>
      <c r="I6" s="77"/>
      <c r="J6" s="77"/>
      <c r="K6" s="77"/>
      <c r="L6" s="77"/>
    </row>
    <row r="7" spans="1:12" ht="15" x14ac:dyDescent="0.25">
      <c r="H7" s="78" t="s">
        <v>53</v>
      </c>
      <c r="I7" s="78"/>
      <c r="J7" s="78"/>
      <c r="K7" s="78"/>
      <c r="L7" s="78"/>
    </row>
    <row r="8" spans="1:12" x14ac:dyDescent="0.2">
      <c r="A8" s="3"/>
    </row>
    <row r="9" spans="1:12" x14ac:dyDescent="0.2">
      <c r="A9" s="34"/>
    </row>
    <row r="11" spans="1:12" x14ac:dyDescent="0.2">
      <c r="A11" s="59" t="s">
        <v>61</v>
      </c>
      <c r="B11" s="60"/>
      <c r="C11" s="60"/>
      <c r="D11" s="60"/>
      <c r="E11" s="60"/>
      <c r="F11" s="60"/>
      <c r="G11" s="60"/>
      <c r="H11" s="60"/>
      <c r="I11" s="60"/>
      <c r="J11" s="60"/>
      <c r="K11" s="60"/>
      <c r="L11" s="61"/>
    </row>
    <row r="12" spans="1:12" ht="12.75" customHeight="1" x14ac:dyDescent="0.2">
      <c r="A12" s="62"/>
      <c r="B12" s="63"/>
      <c r="C12" s="63"/>
      <c r="D12" s="63"/>
      <c r="E12" s="63"/>
      <c r="F12" s="63"/>
      <c r="G12" s="63"/>
      <c r="H12" s="63"/>
      <c r="I12" s="63"/>
      <c r="J12" s="63"/>
      <c r="K12" s="63"/>
      <c r="L12" s="64"/>
    </row>
    <row r="13" spans="1:12" x14ac:dyDescent="0.2">
      <c r="A13" s="62"/>
      <c r="B13" s="63"/>
      <c r="C13" s="63"/>
      <c r="D13" s="63"/>
      <c r="E13" s="63"/>
      <c r="F13" s="63"/>
      <c r="G13" s="63"/>
      <c r="H13" s="63"/>
      <c r="I13" s="63"/>
      <c r="J13" s="63"/>
      <c r="K13" s="63"/>
      <c r="L13" s="64"/>
    </row>
    <row r="14" spans="1:12" x14ac:dyDescent="0.2">
      <c r="A14" s="62"/>
      <c r="B14" s="63"/>
      <c r="C14" s="63"/>
      <c r="D14" s="63"/>
      <c r="E14" s="63"/>
      <c r="F14" s="63"/>
      <c r="G14" s="63"/>
      <c r="H14" s="63"/>
      <c r="I14" s="63"/>
      <c r="J14" s="63"/>
      <c r="K14" s="63"/>
      <c r="L14" s="64"/>
    </row>
    <row r="15" spans="1:12" x14ac:dyDescent="0.2">
      <c r="A15" s="62"/>
      <c r="B15" s="63"/>
      <c r="C15" s="63"/>
      <c r="D15" s="63"/>
      <c r="E15" s="63"/>
      <c r="F15" s="63"/>
      <c r="G15" s="63"/>
      <c r="H15" s="63"/>
      <c r="I15" s="63"/>
      <c r="J15" s="63"/>
      <c r="K15" s="63"/>
      <c r="L15" s="64"/>
    </row>
    <row r="16" spans="1:12" x14ac:dyDescent="0.2">
      <c r="A16" s="62"/>
      <c r="B16" s="63"/>
      <c r="C16" s="63"/>
      <c r="D16" s="63"/>
      <c r="E16" s="63"/>
      <c r="F16" s="63"/>
      <c r="G16" s="63"/>
      <c r="H16" s="63"/>
      <c r="I16" s="63"/>
      <c r="J16" s="63"/>
      <c r="K16" s="63"/>
      <c r="L16" s="64"/>
    </row>
    <row r="17" spans="1:15" x14ac:dyDescent="0.2">
      <c r="A17" s="62"/>
      <c r="B17" s="63"/>
      <c r="C17" s="63"/>
      <c r="D17" s="63"/>
      <c r="E17" s="63"/>
      <c r="F17" s="63"/>
      <c r="G17" s="63"/>
      <c r="H17" s="63"/>
      <c r="I17" s="63"/>
      <c r="J17" s="63"/>
      <c r="K17" s="63"/>
      <c r="L17" s="64"/>
    </row>
    <row r="18" spans="1:15" x14ac:dyDescent="0.2">
      <c r="A18" s="62"/>
      <c r="B18" s="63"/>
      <c r="C18" s="63"/>
      <c r="D18" s="63"/>
      <c r="E18" s="63"/>
      <c r="F18" s="63"/>
      <c r="G18" s="63"/>
      <c r="H18" s="63"/>
      <c r="I18" s="63"/>
      <c r="J18" s="63"/>
      <c r="K18" s="63"/>
      <c r="L18" s="64"/>
    </row>
    <row r="19" spans="1:15" x14ac:dyDescent="0.2">
      <c r="A19" s="62"/>
      <c r="B19" s="63"/>
      <c r="C19" s="63"/>
      <c r="D19" s="63"/>
      <c r="E19" s="63"/>
      <c r="F19" s="63"/>
      <c r="G19" s="63"/>
      <c r="H19" s="63"/>
      <c r="I19" s="63"/>
      <c r="J19" s="63"/>
      <c r="K19" s="63"/>
      <c r="L19" s="64"/>
      <c r="O19" s="3"/>
    </row>
    <row r="20" spans="1:15" x14ac:dyDescent="0.2">
      <c r="A20" s="62"/>
      <c r="B20" s="63"/>
      <c r="C20" s="63"/>
      <c r="D20" s="63"/>
      <c r="E20" s="63"/>
      <c r="F20" s="63"/>
      <c r="G20" s="63"/>
      <c r="H20" s="63"/>
      <c r="I20" s="63"/>
      <c r="J20" s="63"/>
      <c r="K20" s="63"/>
      <c r="L20" s="64"/>
      <c r="O20" s="3"/>
    </row>
    <row r="21" spans="1:15" x14ac:dyDescent="0.2">
      <c r="A21" s="62"/>
      <c r="B21" s="63"/>
      <c r="C21" s="63"/>
      <c r="D21" s="63"/>
      <c r="E21" s="63"/>
      <c r="F21" s="63"/>
      <c r="G21" s="63"/>
      <c r="H21" s="63"/>
      <c r="I21" s="63"/>
      <c r="J21" s="63"/>
      <c r="K21" s="63"/>
      <c r="L21" s="64"/>
      <c r="O21" s="35"/>
    </row>
    <row r="22" spans="1:15" x14ac:dyDescent="0.2">
      <c r="A22" s="62"/>
      <c r="B22" s="63"/>
      <c r="C22" s="63"/>
      <c r="D22" s="63"/>
      <c r="E22" s="63"/>
      <c r="F22" s="63"/>
      <c r="G22" s="63"/>
      <c r="H22" s="63"/>
      <c r="I22" s="63"/>
      <c r="J22" s="63"/>
      <c r="K22" s="63"/>
      <c r="L22" s="64"/>
      <c r="O22" s="3"/>
    </row>
    <row r="23" spans="1:15" x14ac:dyDescent="0.2">
      <c r="A23" s="62"/>
      <c r="B23" s="63"/>
      <c r="C23" s="63"/>
      <c r="D23" s="63"/>
      <c r="E23" s="63"/>
      <c r="F23" s="63"/>
      <c r="G23" s="63"/>
      <c r="H23" s="63"/>
      <c r="I23" s="63"/>
      <c r="J23" s="63"/>
      <c r="K23" s="63"/>
      <c r="L23" s="64"/>
      <c r="O23" s="3"/>
    </row>
    <row r="24" spans="1:15" x14ac:dyDescent="0.2">
      <c r="A24" s="65"/>
      <c r="B24" s="66"/>
      <c r="C24" s="66"/>
      <c r="D24" s="66"/>
      <c r="E24" s="66"/>
      <c r="F24" s="66"/>
      <c r="G24" s="66"/>
      <c r="H24" s="66"/>
      <c r="I24" s="66"/>
      <c r="J24" s="66"/>
      <c r="K24" s="66"/>
      <c r="L24" s="67"/>
      <c r="O24" s="3"/>
    </row>
    <row r="26" spans="1:15" x14ac:dyDescent="0.2">
      <c r="A26" t="s">
        <v>42</v>
      </c>
      <c r="B26" s="40">
        <v>65</v>
      </c>
      <c r="O26" s="35"/>
    </row>
    <row r="28" spans="1:15" x14ac:dyDescent="0.2">
      <c r="A28" t="s">
        <v>43</v>
      </c>
    </row>
    <row r="33" spans="1:1" x14ac:dyDescent="0.2">
      <c r="A33" t="s">
        <v>44</v>
      </c>
    </row>
    <row r="34" spans="1:1" ht="15" x14ac:dyDescent="0.25">
      <c r="A34" s="41">
        <f>find_best!C32</f>
        <v>9</v>
      </c>
    </row>
    <row r="35" spans="1:1" x14ac:dyDescent="0.2">
      <c r="A35" t="s">
        <v>45</v>
      </c>
    </row>
    <row r="36" spans="1:1" ht="15" x14ac:dyDescent="0.25">
      <c r="A36" s="42">
        <f>find_best!D33+1</f>
        <v>905.92200000000003</v>
      </c>
    </row>
    <row r="38" spans="1:1" x14ac:dyDescent="0.2">
      <c r="A38" t="s">
        <v>46</v>
      </c>
    </row>
    <row r="40" spans="1:1" x14ac:dyDescent="0.2">
      <c r="A40" s="35"/>
    </row>
    <row r="41" spans="1:1" x14ac:dyDescent="0.2">
      <c r="A41" s="35"/>
    </row>
  </sheetData>
  <mergeCells count="5">
    <mergeCell ref="A11:L24"/>
    <mergeCell ref="A2:A5"/>
    <mergeCell ref="H6:L6"/>
    <mergeCell ref="H7:L7"/>
    <mergeCell ref="H1:L4"/>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99041" r:id="rId4" name="CommandButton1">
          <controlPr defaultSize="0" autoLine="0" r:id="rId5">
            <anchor moveWithCells="1">
              <from>
                <xdr:col>2</xdr:col>
                <xdr:colOff>0</xdr:colOff>
                <xdr:row>1</xdr:row>
                <xdr:rowOff>38100</xdr:rowOff>
              </from>
              <to>
                <xdr:col>5</xdr:col>
                <xdr:colOff>66675</xdr:colOff>
                <xdr:row>6</xdr:row>
                <xdr:rowOff>180975</xdr:rowOff>
              </to>
            </anchor>
          </controlPr>
        </control>
      </mc:Choice>
      <mc:Fallback>
        <control shapeId="599041" r:id="rId4" name="CommandButton1"/>
      </mc:Fallback>
    </mc:AlternateContent>
    <mc:AlternateContent xmlns:mc="http://schemas.openxmlformats.org/markup-compatibility/2006">
      <mc:Choice Requires="x14">
        <control shapeId="599042" r:id="rId6" name="Button 2">
          <controlPr defaultSize="0" print="0" autoFill="0" autoPict="0" macro="[0]!Button2_Click">
            <anchor moveWithCells="1" sizeWithCells="1">
              <from>
                <xdr:col>1</xdr:col>
                <xdr:colOff>409575</xdr:colOff>
                <xdr:row>28</xdr:row>
                <xdr:rowOff>38100</xdr:rowOff>
              </from>
              <to>
                <xdr:col>4</xdr:col>
                <xdr:colOff>57150</xdr:colOff>
                <xdr:row>31</xdr:row>
                <xdr:rowOff>142875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J37"/>
  <sheetViews>
    <sheetView workbookViewId="0">
      <selection activeCell="D7" sqref="D7"/>
    </sheetView>
  </sheetViews>
  <sheetFormatPr defaultRowHeight="12.75" x14ac:dyDescent="0.2"/>
  <cols>
    <col min="1" max="1" width="18.85546875" customWidth="1"/>
    <col min="2" max="2" width="12.28515625" bestFit="1" customWidth="1"/>
    <col min="3" max="3" width="12.28515625" customWidth="1"/>
    <col min="4" max="4" width="11.28515625" bestFit="1" customWidth="1"/>
    <col min="5" max="5" width="11" customWidth="1"/>
    <col min="6" max="6" width="11.85546875" customWidth="1"/>
    <col min="7" max="7" width="2.42578125" customWidth="1"/>
    <col min="8" max="8" width="9.7109375" bestFit="1" customWidth="1"/>
  </cols>
  <sheetData>
    <row r="1" spans="1:10" x14ac:dyDescent="0.2">
      <c r="A1" s="80" t="s">
        <v>57</v>
      </c>
      <c r="B1" s="80"/>
    </row>
    <row r="2" spans="1:10" x14ac:dyDescent="0.2">
      <c r="A2" s="45" t="s">
        <v>8</v>
      </c>
      <c r="B2">
        <f>generate!B26</f>
        <v>65</v>
      </c>
      <c r="H2" t="s">
        <v>33</v>
      </c>
      <c r="I2" s="35" t="s">
        <v>34</v>
      </c>
      <c r="J2">
        <v>0</v>
      </c>
    </row>
    <row r="3" spans="1:10" x14ac:dyDescent="0.2">
      <c r="B3" s="3" t="s">
        <v>23</v>
      </c>
      <c r="C3" s="3" t="s">
        <v>30</v>
      </c>
      <c r="D3" s="3" t="s">
        <v>26</v>
      </c>
      <c r="E3" s="3" t="s">
        <v>27</v>
      </c>
      <c r="F3" s="3" t="s">
        <v>28</v>
      </c>
      <c r="G3" s="3"/>
    </row>
    <row r="4" spans="1:10" x14ac:dyDescent="0.2">
      <c r="B4" s="4"/>
      <c r="C4" s="4"/>
      <c r="H4" s="35" t="s">
        <v>36</v>
      </c>
      <c r="I4" s="35" t="s">
        <v>37</v>
      </c>
    </row>
    <row r="5" spans="1:10" x14ac:dyDescent="0.2">
      <c r="A5">
        <v>1</v>
      </c>
      <c r="B5" s="39">
        <v>5630.3131000000003</v>
      </c>
      <c r="C5" s="39">
        <v>2086.4944999999998</v>
      </c>
      <c r="D5" s="46"/>
      <c r="E5" s="46"/>
      <c r="F5" s="46"/>
      <c r="H5" s="31"/>
      <c r="I5" s="24">
        <v>1</v>
      </c>
      <c r="J5" t="str">
        <f>IF(I5=1,$I$2,0)</f>
        <v>tax</v>
      </c>
    </row>
    <row r="6" spans="1:10" x14ac:dyDescent="0.2">
      <c r="A6">
        <v>2</v>
      </c>
      <c r="B6" s="39">
        <v>5370.3885</v>
      </c>
      <c r="C6" s="39">
        <v>4477.1320999999998</v>
      </c>
      <c r="D6" s="46"/>
      <c r="E6" s="46"/>
      <c r="F6" s="46"/>
      <c r="H6" s="31"/>
      <c r="I6" s="24">
        <v>1</v>
      </c>
      <c r="J6" t="str">
        <f>IF(I6=1,$I$2,0)</f>
        <v>tax</v>
      </c>
    </row>
    <row r="7" spans="1:10" x14ac:dyDescent="0.2">
      <c r="A7">
        <v>3</v>
      </c>
      <c r="B7" s="39">
        <v>5294.6602999999996</v>
      </c>
      <c r="C7" s="39">
        <v>4511.9192000000003</v>
      </c>
      <c r="D7" s="46"/>
      <c r="E7" s="46"/>
      <c r="F7" s="46"/>
      <c r="H7" s="31"/>
      <c r="I7" s="24">
        <v>1</v>
      </c>
      <c r="J7" t="str">
        <f>IF(I7=1,$I$2,0)</f>
        <v>tax</v>
      </c>
    </row>
    <row r="8" spans="1:10" x14ac:dyDescent="0.2">
      <c r="A8">
        <v>4</v>
      </c>
      <c r="B8" s="39">
        <v>3868.8533000000002</v>
      </c>
      <c r="C8" s="39">
        <v>1081.3181</v>
      </c>
      <c r="D8" s="46"/>
      <c r="E8" s="46"/>
      <c r="F8" s="46"/>
      <c r="H8" s="31"/>
      <c r="I8" s="24">
        <v>1</v>
      </c>
      <c r="J8" t="str">
        <f t="shared" ref="J8:J24" si="0">IF(I8=1,$I$2,0)</f>
        <v>tax</v>
      </c>
    </row>
    <row r="9" spans="1:10" x14ac:dyDescent="0.2">
      <c r="A9">
        <v>5</v>
      </c>
      <c r="B9" s="39">
        <v>13.0284</v>
      </c>
      <c r="C9" s="39">
        <v>5.2359999999999998</v>
      </c>
      <c r="D9" s="46"/>
      <c r="E9" s="46"/>
      <c r="F9" s="46"/>
      <c r="H9" s="31"/>
      <c r="I9" s="24">
        <v>1</v>
      </c>
      <c r="J9" t="str">
        <f t="shared" si="0"/>
        <v>tax</v>
      </c>
    </row>
    <row r="10" spans="1:10" x14ac:dyDescent="0.2">
      <c r="A10">
        <v>6</v>
      </c>
      <c r="B10" s="39">
        <v>5020.7237999999998</v>
      </c>
      <c r="C10" s="39">
        <v>2868.5037000000002</v>
      </c>
      <c r="D10" s="46"/>
      <c r="E10" s="46"/>
      <c r="F10" s="46"/>
      <c r="H10" s="31"/>
      <c r="I10" s="24">
        <v>1</v>
      </c>
      <c r="J10" t="str">
        <f t="shared" si="0"/>
        <v>tax</v>
      </c>
    </row>
    <row r="11" spans="1:10" x14ac:dyDescent="0.2">
      <c r="A11">
        <v>7</v>
      </c>
      <c r="B11" s="39">
        <v>5969.2768999999998</v>
      </c>
      <c r="C11" s="39">
        <v>3219.1158</v>
      </c>
      <c r="D11" s="46"/>
      <c r="E11" s="46"/>
      <c r="F11" s="46"/>
      <c r="H11" s="31"/>
      <c r="I11" s="24">
        <v>1</v>
      </c>
      <c r="J11" t="str">
        <f t="shared" si="0"/>
        <v>tax</v>
      </c>
    </row>
    <row r="12" spans="1:10" x14ac:dyDescent="0.2">
      <c r="A12">
        <v>8</v>
      </c>
      <c r="B12" s="39">
        <v>9184.5889999999999</v>
      </c>
      <c r="C12" s="39">
        <v>35.844499999999996</v>
      </c>
      <c r="D12" s="46"/>
      <c r="E12" s="46"/>
      <c r="F12" s="46"/>
      <c r="H12" s="31"/>
      <c r="I12" s="24">
        <v>1</v>
      </c>
      <c r="J12" t="str">
        <f t="shared" si="0"/>
        <v>tax</v>
      </c>
    </row>
    <row r="13" spans="1:10" x14ac:dyDescent="0.2">
      <c r="A13">
        <v>9</v>
      </c>
      <c r="B13" s="39">
        <v>2976.1282999999999</v>
      </c>
      <c r="C13" s="39">
        <v>2511.9328999999998</v>
      </c>
      <c r="D13" s="46"/>
      <c r="E13" s="46"/>
      <c r="F13" s="46"/>
      <c r="H13" s="31"/>
      <c r="I13" s="24">
        <v>1</v>
      </c>
      <c r="J13" t="str">
        <f t="shared" si="0"/>
        <v>tax</v>
      </c>
    </row>
    <row r="14" spans="1:10" x14ac:dyDescent="0.2">
      <c r="A14">
        <v>10</v>
      </c>
      <c r="B14" s="39">
        <v>2325.3892000000001</v>
      </c>
      <c r="C14" s="39">
        <v>102.2405</v>
      </c>
      <c r="D14" s="46"/>
      <c r="E14" s="46"/>
      <c r="F14" s="46"/>
      <c r="H14" s="31"/>
      <c r="I14" s="24">
        <v>1</v>
      </c>
      <c r="J14" t="str">
        <f t="shared" si="0"/>
        <v>tax</v>
      </c>
    </row>
    <row r="15" spans="1:10" x14ac:dyDescent="0.2">
      <c r="A15">
        <v>11</v>
      </c>
      <c r="B15" s="39">
        <v>2817.2530000000002</v>
      </c>
      <c r="C15" s="39">
        <v>2185.3987000000002</v>
      </c>
      <c r="D15" s="46"/>
      <c r="E15" s="46"/>
      <c r="F15" s="46"/>
      <c r="H15" s="31"/>
      <c r="I15" s="24">
        <v>1</v>
      </c>
      <c r="J15" t="str">
        <f t="shared" si="0"/>
        <v>tax</v>
      </c>
    </row>
    <row r="16" spans="1:10" x14ac:dyDescent="0.2">
      <c r="A16">
        <v>12</v>
      </c>
      <c r="B16" s="39">
        <v>5003.1832000000004</v>
      </c>
      <c r="C16" s="39">
        <v>4098.2611999999999</v>
      </c>
      <c r="D16" s="46"/>
      <c r="E16" s="46"/>
      <c r="F16" s="46"/>
      <c r="H16" s="31"/>
      <c r="I16" s="24">
        <v>1</v>
      </c>
      <c r="J16" t="str">
        <f t="shared" si="0"/>
        <v>tax</v>
      </c>
    </row>
    <row r="17" spans="1:10" x14ac:dyDescent="0.2">
      <c r="A17">
        <v>13</v>
      </c>
      <c r="B17" s="39">
        <v>1895.4483</v>
      </c>
      <c r="C17" s="39">
        <v>677.09540000000004</v>
      </c>
      <c r="D17" s="46"/>
      <c r="E17" s="46"/>
      <c r="F17" s="46"/>
      <c r="H17" s="31"/>
      <c r="I17" s="24">
        <v>1</v>
      </c>
      <c r="J17" t="str">
        <f t="shared" si="0"/>
        <v>tax</v>
      </c>
    </row>
    <row r="18" spans="1:10" x14ac:dyDescent="0.2">
      <c r="A18">
        <v>14</v>
      </c>
      <c r="B18" s="39">
        <v>7370.3779999999997</v>
      </c>
      <c r="C18" s="39">
        <v>3076.5131999999999</v>
      </c>
      <c r="D18" s="46"/>
      <c r="E18" s="46"/>
      <c r="F18" s="46"/>
      <c r="H18" s="31"/>
      <c r="I18" s="24">
        <v>1</v>
      </c>
      <c r="J18" t="str">
        <f t="shared" si="0"/>
        <v>tax</v>
      </c>
    </row>
    <row r="19" spans="1:10" x14ac:dyDescent="0.2">
      <c r="A19">
        <v>15</v>
      </c>
      <c r="B19" s="39">
        <v>3905.1833999999999</v>
      </c>
      <c r="C19" s="39">
        <v>2534.5205000000001</v>
      </c>
      <c r="D19" s="46"/>
      <c r="E19" s="46"/>
      <c r="F19" s="46"/>
      <c r="H19" s="31"/>
      <c r="I19" s="24">
        <v>1</v>
      </c>
      <c r="J19" t="str">
        <f t="shared" si="0"/>
        <v>tax</v>
      </c>
    </row>
    <row r="20" spans="1:10" x14ac:dyDescent="0.2">
      <c r="B20" s="39"/>
      <c r="C20" s="39"/>
      <c r="D20" s="46"/>
      <c r="E20" s="46"/>
      <c r="F20" s="46"/>
      <c r="H20" s="31"/>
      <c r="I20" s="24"/>
      <c r="J20">
        <f t="shared" si="0"/>
        <v>0</v>
      </c>
    </row>
    <row r="21" spans="1:10" x14ac:dyDescent="0.2">
      <c r="B21" s="39"/>
      <c r="C21" s="39"/>
      <c r="D21" s="46"/>
      <c r="E21" s="46"/>
      <c r="F21" s="46"/>
      <c r="H21" s="31"/>
      <c r="I21" s="24"/>
      <c r="J21">
        <f t="shared" si="0"/>
        <v>0</v>
      </c>
    </row>
    <row r="22" spans="1:10" x14ac:dyDescent="0.2">
      <c r="B22" s="39"/>
      <c r="C22" s="39"/>
      <c r="D22" s="46"/>
      <c r="E22" s="46"/>
      <c r="F22" s="46"/>
      <c r="H22" s="31"/>
      <c r="I22" s="24"/>
      <c r="J22">
        <f t="shared" si="0"/>
        <v>0</v>
      </c>
    </row>
    <row r="23" spans="1:10" x14ac:dyDescent="0.2">
      <c r="B23" s="39"/>
      <c r="C23" s="39"/>
      <c r="D23" s="46"/>
      <c r="E23" s="46"/>
      <c r="F23" s="46"/>
      <c r="H23" s="31"/>
      <c r="I23" s="24"/>
      <c r="J23">
        <f t="shared" si="0"/>
        <v>0</v>
      </c>
    </row>
    <row r="24" spans="1:10" x14ac:dyDescent="0.2">
      <c r="B24" s="39"/>
      <c r="C24" s="39"/>
      <c r="D24" s="46"/>
      <c r="E24" s="46"/>
      <c r="F24" s="46"/>
      <c r="H24" s="31"/>
      <c r="I24" s="24"/>
      <c r="J24">
        <f t="shared" si="0"/>
        <v>0</v>
      </c>
    </row>
    <row r="25" spans="1:10" x14ac:dyDescent="0.2">
      <c r="B25" s="39"/>
      <c r="C25" s="39"/>
      <c r="D25" s="46"/>
      <c r="E25" s="46"/>
      <c r="F25" s="46"/>
      <c r="H25" s="31"/>
      <c r="I25" s="24"/>
      <c r="J25">
        <f>IF(I25=1,$I$2,0)</f>
        <v>0</v>
      </c>
    </row>
    <row r="26" spans="1:10" x14ac:dyDescent="0.2">
      <c r="B26" s="39"/>
      <c r="C26" s="39"/>
      <c r="D26" s="46"/>
      <c r="E26" s="46"/>
      <c r="F26" s="46"/>
      <c r="H26" s="31"/>
      <c r="I26" s="24"/>
      <c r="J26">
        <f>IF(I26=1,$I$2,0)</f>
        <v>0</v>
      </c>
    </row>
    <row r="27" spans="1:10" x14ac:dyDescent="0.2">
      <c r="B27" s="39"/>
      <c r="C27" s="39"/>
      <c r="D27" s="46"/>
      <c r="E27" s="46"/>
      <c r="F27" s="46"/>
      <c r="H27" s="31"/>
      <c r="I27" s="24"/>
      <c r="J27">
        <f>IF(I27=1,$I$2,0)</f>
        <v>0</v>
      </c>
    </row>
    <row r="28" spans="1:10" x14ac:dyDescent="0.2">
      <c r="B28" s="39"/>
      <c r="C28" s="39"/>
      <c r="D28" s="46"/>
      <c r="E28" s="46"/>
      <c r="F28" s="46"/>
      <c r="H28" s="31"/>
      <c r="I28" s="24"/>
      <c r="J28">
        <f>IF(I28=1,$I$2,0)</f>
        <v>0</v>
      </c>
    </row>
    <row r="29" spans="1:10" x14ac:dyDescent="0.2">
      <c r="B29" s="39"/>
      <c r="C29" s="39"/>
      <c r="D29" s="46"/>
      <c r="E29" s="46"/>
      <c r="F29" s="46"/>
      <c r="H29" s="31"/>
      <c r="I29" s="24"/>
      <c r="J29">
        <f>IF(I29=1,$I$2,0)</f>
        <v>0</v>
      </c>
    </row>
    <row r="32" spans="1:10" ht="15" x14ac:dyDescent="0.25">
      <c r="A32" s="3" t="s">
        <v>22</v>
      </c>
      <c r="B32" s="42">
        <f>SUM(B5:B25)</f>
        <v>66644.796699999977</v>
      </c>
      <c r="C32" s="42">
        <f>SUM(C5:C25)</f>
        <v>33471.526300000005</v>
      </c>
      <c r="D32" s="42">
        <f>SUM(D5:D29)</f>
        <v>0</v>
      </c>
      <c r="E32" s="42">
        <f>SUM(E5:E29)</f>
        <v>0</v>
      </c>
      <c r="F32" s="42">
        <f>SUM(F5:F29)</f>
        <v>0</v>
      </c>
      <c r="H32" s="42">
        <f>SUM(H5:H29)</f>
        <v>0</v>
      </c>
    </row>
    <row r="33" spans="1:8" x14ac:dyDescent="0.2">
      <c r="A33" s="3" t="s">
        <v>5</v>
      </c>
      <c r="B33" s="24">
        <f>MAX(A5:A29)</f>
        <v>15</v>
      </c>
      <c r="C33" s="24">
        <v>0</v>
      </c>
      <c r="D33" s="24"/>
      <c r="E33" s="24"/>
      <c r="F33" s="24"/>
      <c r="G33" s="24"/>
      <c r="H33" s="24">
        <f>SUM(I5:I29)</f>
        <v>15</v>
      </c>
    </row>
    <row r="34" spans="1:8" ht="15" x14ac:dyDescent="0.25">
      <c r="A34" s="3" t="s">
        <v>24</v>
      </c>
      <c r="B34" s="47">
        <f>$B$2*B33^2</f>
        <v>14625</v>
      </c>
      <c r="C34" s="47">
        <f>$B$2*C33^2</f>
        <v>0</v>
      </c>
      <c r="D34" s="47">
        <f>$B$2*D33^2</f>
        <v>0</v>
      </c>
      <c r="E34" s="47">
        <f>$B$2*E33^2</f>
        <v>0</v>
      </c>
      <c r="F34" s="47">
        <f>$B$2*F33^2</f>
        <v>0</v>
      </c>
      <c r="G34" s="4"/>
      <c r="H34" s="47">
        <f>$B$2*H33^2</f>
        <v>14625</v>
      </c>
    </row>
    <row r="35" spans="1:8" ht="15" x14ac:dyDescent="0.25">
      <c r="A35" s="35" t="s">
        <v>38</v>
      </c>
      <c r="B35" s="29"/>
      <c r="C35" s="29"/>
      <c r="D35" s="31"/>
      <c r="E35" s="31"/>
      <c r="F35" s="31"/>
      <c r="H35" s="42">
        <f>J2*H33</f>
        <v>0</v>
      </c>
    </row>
    <row r="37" spans="1:8" x14ac:dyDescent="0.2">
      <c r="A37" s="3" t="s">
        <v>25</v>
      </c>
      <c r="B37" s="29">
        <f>B32-B34</f>
        <v>52019.796699999977</v>
      </c>
      <c r="C37" s="29">
        <f>C32-C34</f>
        <v>33471.526300000005</v>
      </c>
      <c r="D37" s="29">
        <f>D32-D34</f>
        <v>0</v>
      </c>
      <c r="E37" s="29">
        <f>E32-E34</f>
        <v>0</v>
      </c>
      <c r="F37" s="29">
        <f>F32-F34</f>
        <v>0</v>
      </c>
      <c r="H37" s="29">
        <f>H32-H34+H35</f>
        <v>-14625</v>
      </c>
    </row>
  </sheetData>
  <mergeCells count="1">
    <mergeCell ref="A1:B1"/>
  </mergeCells>
  <conditionalFormatting sqref="B37:F37 H37">
    <cfRule type="top10" dxfId="0" priority="1" rank="1"/>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190"/>
  <sheetViews>
    <sheetView workbookViewId="0">
      <selection activeCell="A16" sqref="A16:XFD16"/>
    </sheetView>
  </sheetViews>
  <sheetFormatPr defaultColWidth="9.140625" defaultRowHeight="24.95" customHeight="1" x14ac:dyDescent="0.35"/>
  <cols>
    <col min="1" max="1" width="23.42578125" style="2" customWidth="1"/>
    <col min="2" max="2" width="30.5703125" style="2" customWidth="1"/>
    <col min="3" max="3" width="33.140625" style="2" customWidth="1"/>
    <col min="4" max="16384" width="9.140625" style="2"/>
  </cols>
  <sheetData>
    <row r="1" spans="1:3" s="1" customFormat="1" ht="99" customHeight="1" x14ac:dyDescent="0.35">
      <c r="A1" s="1" t="s">
        <v>63</v>
      </c>
      <c r="B1" s="1" t="s">
        <v>64</v>
      </c>
      <c r="C1" s="1" t="s">
        <v>0</v>
      </c>
    </row>
    <row r="2" spans="1:3" ht="50.1" customHeight="1" x14ac:dyDescent="0.35">
      <c r="A2" s="2">
        <v>5630.3131122602281</v>
      </c>
      <c r="B2" s="2">
        <v>2086.4945408712779</v>
      </c>
      <c r="C2" s="2">
        <v>3543.8185713889502</v>
      </c>
    </row>
    <row r="3" spans="1:3" ht="50.1" customHeight="1" x14ac:dyDescent="0.35">
      <c r="A3" s="2">
        <v>5370.3884655710117</v>
      </c>
      <c r="B3" s="2">
        <v>4477.1320682479754</v>
      </c>
      <c r="C3" s="2">
        <v>893.25639732303625</v>
      </c>
    </row>
    <row r="4" spans="1:3" ht="50.1" customHeight="1" x14ac:dyDescent="0.35">
      <c r="A4" s="2">
        <v>5294.6603443962995</v>
      </c>
      <c r="B4" s="2">
        <v>4511.919218879103</v>
      </c>
      <c r="C4" s="2">
        <v>782.74112551719645</v>
      </c>
    </row>
    <row r="5" spans="1:3" ht="50.1" customHeight="1" x14ac:dyDescent="0.35">
      <c r="A5" s="2">
        <v>3868.853275524727</v>
      </c>
      <c r="B5" s="2">
        <v>1081.3180842276531</v>
      </c>
      <c r="C5" s="2">
        <v>2787.5351912970737</v>
      </c>
    </row>
    <row r="6" spans="1:3" ht="50.1" customHeight="1" x14ac:dyDescent="0.35">
      <c r="A6" s="2">
        <v>13.028389610548402</v>
      </c>
      <c r="B6" s="2">
        <v>5.2360209737732415</v>
      </c>
      <c r="C6" s="2">
        <v>7.7923686367751603</v>
      </c>
    </row>
    <row r="7" spans="1:3" ht="50.1" customHeight="1" x14ac:dyDescent="0.35">
      <c r="A7" s="2">
        <v>5020.7237657842234</v>
      </c>
      <c r="B7" s="2">
        <v>2868.5036776167713</v>
      </c>
      <c r="C7" s="2">
        <v>2152.2200881674521</v>
      </c>
    </row>
    <row r="8" spans="1:3" ht="50.1" customHeight="1" x14ac:dyDescent="0.35">
      <c r="A8" s="2">
        <v>5969.2769495522607</v>
      </c>
      <c r="B8" s="2">
        <v>3219.1158159192237</v>
      </c>
      <c r="C8" s="2">
        <v>2750.161133633037</v>
      </c>
    </row>
    <row r="9" spans="1:3" ht="50.1" customHeight="1" x14ac:dyDescent="0.35">
      <c r="A9" s="2">
        <v>9184.5889832533503</v>
      </c>
      <c r="B9" s="2">
        <v>35.844524926492532</v>
      </c>
      <c r="C9" s="2">
        <v>9148.7444583268571</v>
      </c>
    </row>
    <row r="10" spans="1:3" ht="50.1" customHeight="1" x14ac:dyDescent="0.35">
      <c r="A10" s="2">
        <v>2976.1282676398278</v>
      </c>
      <c r="B10" s="2">
        <v>2511.9329398676077</v>
      </c>
      <c r="C10" s="2">
        <v>464.19532777222003</v>
      </c>
    </row>
    <row r="11" spans="1:3" ht="50.1" customHeight="1" x14ac:dyDescent="0.35">
      <c r="A11" s="2">
        <v>2325.3891642479157</v>
      </c>
      <c r="B11" s="2">
        <v>102.24048838912843</v>
      </c>
      <c r="C11" s="2">
        <v>2223.1486758587871</v>
      </c>
    </row>
    <row r="12" spans="1:3" ht="50.1" customHeight="1" x14ac:dyDescent="0.35">
      <c r="A12" s="2">
        <v>2817.2530289253591</v>
      </c>
      <c r="B12" s="2">
        <v>2185.3986938215371</v>
      </c>
      <c r="C12" s="2">
        <v>631.854335103822</v>
      </c>
    </row>
    <row r="13" spans="1:3" ht="50.1" customHeight="1" x14ac:dyDescent="0.35">
      <c r="A13" s="2">
        <v>5003.1831708172831</v>
      </c>
      <c r="B13" s="2">
        <v>4098.2611528497746</v>
      </c>
      <c r="C13" s="2">
        <v>904.92201796750851</v>
      </c>
    </row>
    <row r="14" spans="1:3" ht="50.1" customHeight="1" x14ac:dyDescent="0.35">
      <c r="A14" s="2">
        <v>1895.4483324873036</v>
      </c>
      <c r="B14" s="2">
        <v>677.09535615408004</v>
      </c>
      <c r="C14" s="2">
        <v>1218.3529763332235</v>
      </c>
    </row>
    <row r="15" spans="1:3" ht="50.1" customHeight="1" x14ac:dyDescent="0.35">
      <c r="A15" s="2">
        <v>7370.3779871141633</v>
      </c>
      <c r="B15" s="2">
        <v>3076.513157348084</v>
      </c>
      <c r="C15" s="2">
        <v>4293.8648297660793</v>
      </c>
    </row>
    <row r="16" spans="1:3" ht="50.1" customHeight="1" x14ac:dyDescent="0.35">
      <c r="A16" s="2">
        <v>3905.1834499756151</v>
      </c>
      <c r="B16" s="2">
        <v>2534.5204864846946</v>
      </c>
      <c r="C16" s="2">
        <v>1370.6629634909204</v>
      </c>
    </row>
    <row r="17" spans="1:3" ht="50.1" customHeight="1" x14ac:dyDescent="0.35">
      <c r="A17" s="2">
        <v>7473.9731451813168</v>
      </c>
      <c r="B17" s="2">
        <v>6933.0727401891618</v>
      </c>
      <c r="C17" s="2">
        <v>540.90040499215502</v>
      </c>
    </row>
    <row r="18" spans="1:3" ht="50.1" customHeight="1" x14ac:dyDescent="0.35">
      <c r="A18" s="2">
        <v>4683.6568436434354</v>
      </c>
      <c r="B18" s="2">
        <v>3103.2782456184195</v>
      </c>
      <c r="C18" s="2">
        <v>1580.3785980250159</v>
      </c>
    </row>
    <row r="19" spans="1:3" ht="50.1" customHeight="1" x14ac:dyDescent="0.35">
      <c r="A19" s="2">
        <v>8941.9619412063657</v>
      </c>
      <c r="B19" s="2">
        <v>439.32568231259455</v>
      </c>
      <c r="C19" s="2">
        <v>8502.6362588937718</v>
      </c>
    </row>
    <row r="20" spans="1:3" ht="50.1" customHeight="1" x14ac:dyDescent="0.35">
      <c r="A20" s="2">
        <v>756.24488330622262</v>
      </c>
      <c r="B20" s="2">
        <v>42.129837113464362</v>
      </c>
      <c r="C20" s="2">
        <v>714.1150461927582</v>
      </c>
    </row>
    <row r="21" spans="1:3" ht="50.1" customHeight="1" x14ac:dyDescent="0.35">
      <c r="A21" s="2">
        <v>7184.9470950560899</v>
      </c>
      <c r="B21" s="2">
        <v>5617.0993839858993</v>
      </c>
      <c r="C21" s="2">
        <v>1567.8477110701906</v>
      </c>
    </row>
    <row r="22" spans="1:3" ht="50.1" customHeight="1" x14ac:dyDescent="0.35">
      <c r="A22" s="2">
        <v>7962.9344699280082</v>
      </c>
      <c r="B22" s="2">
        <v>7929.2905861938762</v>
      </c>
      <c r="C22" s="2">
        <v>33.643883734132032</v>
      </c>
    </row>
    <row r="23" spans="1:3" ht="50.1" customHeight="1" x14ac:dyDescent="0.35">
      <c r="A23" s="2">
        <v>8994.8684712573413</v>
      </c>
      <c r="B23" s="2">
        <v>4802.1213063384066</v>
      </c>
      <c r="C23" s="2">
        <v>4192.7471649189347</v>
      </c>
    </row>
    <row r="24" spans="1:3" ht="50.1" customHeight="1" x14ac:dyDescent="0.35">
      <c r="A24" s="2">
        <v>7581.9942561035641</v>
      </c>
      <c r="B24" s="2">
        <v>368.92577079019418</v>
      </c>
      <c r="C24" s="2">
        <v>7213.0684853133698</v>
      </c>
    </row>
    <row r="25" spans="1:3" ht="50.1" customHeight="1" x14ac:dyDescent="0.35">
      <c r="A25" s="2">
        <v>2553.8689840771531</v>
      </c>
      <c r="B25" s="2">
        <v>2187.2994133808402</v>
      </c>
      <c r="C25" s="2">
        <v>366.56957069631289</v>
      </c>
    </row>
    <row r="26" spans="1:3" ht="50.1" customHeight="1" x14ac:dyDescent="0.35">
      <c r="A26" s="2">
        <v>9663.3638061228812</v>
      </c>
      <c r="B26" s="2">
        <v>4380.5736422356367</v>
      </c>
      <c r="C26" s="2">
        <v>5282.7901638872445</v>
      </c>
    </row>
    <row r="27" spans="1:3" ht="50.1" customHeight="1" x14ac:dyDescent="0.35">
      <c r="A27" s="2">
        <v>8094.3708091503395</v>
      </c>
      <c r="B27" s="2">
        <v>2870.8765695864017</v>
      </c>
      <c r="C27" s="2">
        <v>5223.4942395639373</v>
      </c>
    </row>
    <row r="28" spans="1:3" ht="50.1" customHeight="1" x14ac:dyDescent="0.35">
      <c r="A28" s="2">
        <v>4627.7667493001372</v>
      </c>
      <c r="B28" s="2">
        <v>3385.9748808295781</v>
      </c>
      <c r="C28" s="2">
        <v>1241.7918684705592</v>
      </c>
    </row>
    <row r="29" spans="1:3" ht="50.1" customHeight="1" x14ac:dyDescent="0.35">
      <c r="A29" s="2">
        <v>744.19454918482006</v>
      </c>
      <c r="B29" s="2">
        <v>662.58496147803805</v>
      </c>
      <c r="C29" s="2">
        <v>81.609587706782008</v>
      </c>
    </row>
    <row r="30" spans="1:3" ht="50.1" customHeight="1" x14ac:dyDescent="0.35">
      <c r="A30" s="2">
        <v>9572.5566271744174</v>
      </c>
      <c r="B30" s="2">
        <v>7412.6504698156732</v>
      </c>
      <c r="C30" s="2">
        <v>2159.9061573587442</v>
      </c>
    </row>
    <row r="31" spans="1:3" ht="50.1" customHeight="1" x14ac:dyDescent="0.35">
      <c r="A31" s="2">
        <v>8385.2081019241923</v>
      </c>
      <c r="B31" s="2">
        <v>3512.8183911928127</v>
      </c>
      <c r="C31" s="2">
        <v>4872.3897107313796</v>
      </c>
    </row>
    <row r="32" spans="1:3" ht="50.1" customHeight="1" x14ac:dyDescent="0.35"/>
    <row r="33" ht="50.1" customHeight="1" x14ac:dyDescent="0.35"/>
    <row r="34" ht="50.1" customHeight="1" x14ac:dyDescent="0.35"/>
    <row r="35" ht="50.1" customHeight="1" x14ac:dyDescent="0.35"/>
    <row r="36" ht="50.1" customHeight="1" x14ac:dyDescent="0.35"/>
    <row r="37" ht="50.1" customHeight="1" x14ac:dyDescent="0.35"/>
    <row r="38" ht="50.1" customHeight="1" x14ac:dyDescent="0.35"/>
    <row r="39" ht="50.1" customHeight="1" x14ac:dyDescent="0.35"/>
    <row r="40" ht="50.1" customHeight="1" x14ac:dyDescent="0.35"/>
    <row r="41" ht="50.1" customHeight="1" x14ac:dyDescent="0.35"/>
    <row r="42" ht="50.1" customHeight="1" x14ac:dyDescent="0.35"/>
    <row r="43" ht="50.1" customHeight="1" x14ac:dyDescent="0.35"/>
    <row r="44" ht="50.1" customHeight="1" x14ac:dyDescent="0.35"/>
    <row r="45" ht="50.1" customHeight="1" x14ac:dyDescent="0.35"/>
    <row r="46" ht="50.1" customHeight="1" x14ac:dyDescent="0.35"/>
    <row r="47" ht="50.1" customHeight="1" x14ac:dyDescent="0.35"/>
    <row r="48" ht="50.1" customHeight="1" x14ac:dyDescent="0.35"/>
    <row r="49" ht="50.1" customHeight="1" x14ac:dyDescent="0.35"/>
    <row r="50" ht="50.1" customHeight="1" x14ac:dyDescent="0.35"/>
    <row r="51" ht="50.1" customHeight="1" x14ac:dyDescent="0.35"/>
    <row r="52" ht="50.1" customHeight="1" x14ac:dyDescent="0.35"/>
    <row r="53" ht="50.1" customHeight="1" x14ac:dyDescent="0.35"/>
    <row r="54" ht="50.1" customHeight="1" x14ac:dyDescent="0.35"/>
    <row r="55" ht="50.1" customHeight="1" x14ac:dyDescent="0.35"/>
    <row r="56" ht="50.1" customHeight="1" x14ac:dyDescent="0.35"/>
    <row r="57" ht="50.1" customHeight="1" x14ac:dyDescent="0.35"/>
    <row r="58" ht="50.1" customHeight="1" x14ac:dyDescent="0.35"/>
    <row r="59" ht="50.1" customHeight="1" x14ac:dyDescent="0.35"/>
    <row r="60" ht="50.1" customHeight="1" x14ac:dyDescent="0.35"/>
    <row r="61" ht="50.1" customHeight="1" x14ac:dyDescent="0.35"/>
    <row r="62" ht="50.1" customHeight="1" x14ac:dyDescent="0.35"/>
    <row r="63" ht="50.1" customHeight="1" x14ac:dyDescent="0.35"/>
    <row r="64" ht="50.1" customHeight="1" x14ac:dyDescent="0.35"/>
    <row r="65" ht="50.1" customHeight="1" x14ac:dyDescent="0.35"/>
    <row r="66" ht="50.1" customHeight="1" x14ac:dyDescent="0.35"/>
    <row r="67" ht="50.1" customHeight="1" x14ac:dyDescent="0.35"/>
    <row r="68" ht="50.1" customHeight="1" x14ac:dyDescent="0.35"/>
    <row r="69" ht="50.1" customHeight="1" x14ac:dyDescent="0.35"/>
    <row r="70" ht="50.1" customHeight="1" x14ac:dyDescent="0.35"/>
    <row r="71" ht="50.1" customHeight="1" x14ac:dyDescent="0.35"/>
    <row r="72" ht="50.1" customHeight="1" x14ac:dyDescent="0.35"/>
    <row r="73" ht="50.1" customHeight="1" x14ac:dyDescent="0.35"/>
    <row r="74" ht="50.1" customHeight="1" x14ac:dyDescent="0.35"/>
    <row r="75" ht="50.1" customHeight="1" x14ac:dyDescent="0.35"/>
    <row r="76" ht="50.1" customHeight="1" x14ac:dyDescent="0.35"/>
    <row r="77" ht="50.1" customHeight="1" x14ac:dyDescent="0.35"/>
    <row r="78" ht="50.1" customHeight="1" x14ac:dyDescent="0.35"/>
    <row r="79" ht="50.1" customHeight="1" x14ac:dyDescent="0.35"/>
    <row r="80" ht="50.1" customHeight="1" x14ac:dyDescent="0.35"/>
    <row r="81" ht="50.1" customHeight="1" x14ac:dyDescent="0.35"/>
    <row r="82" ht="50.1" customHeight="1" x14ac:dyDescent="0.35"/>
    <row r="83" ht="50.1" customHeight="1" x14ac:dyDescent="0.35"/>
    <row r="84" ht="50.1" customHeight="1" x14ac:dyDescent="0.35"/>
    <row r="85" ht="50.1" customHeight="1" x14ac:dyDescent="0.35"/>
    <row r="86" ht="50.1" customHeight="1" x14ac:dyDescent="0.35"/>
    <row r="87" ht="50.1" customHeight="1" x14ac:dyDescent="0.35"/>
    <row r="88" ht="50.1" customHeight="1" x14ac:dyDescent="0.35"/>
    <row r="89" ht="50.1" customHeight="1" x14ac:dyDescent="0.35"/>
    <row r="90" ht="50.1" customHeight="1" x14ac:dyDescent="0.35"/>
    <row r="91" ht="50.1" customHeight="1" x14ac:dyDescent="0.35"/>
    <row r="92" ht="50.1" customHeight="1" x14ac:dyDescent="0.35"/>
    <row r="93" ht="50.1" customHeight="1" x14ac:dyDescent="0.35"/>
    <row r="94" ht="50.1" customHeight="1" x14ac:dyDescent="0.35"/>
    <row r="95" ht="50.1" customHeight="1" x14ac:dyDescent="0.35"/>
    <row r="96" ht="50.1" customHeight="1" x14ac:dyDescent="0.35"/>
    <row r="97" ht="50.1" customHeight="1" x14ac:dyDescent="0.35"/>
    <row r="98" ht="50.1" customHeight="1" x14ac:dyDescent="0.35"/>
    <row r="99" ht="50.1" customHeight="1" x14ac:dyDescent="0.35"/>
    <row r="100" ht="50.1" customHeight="1" x14ac:dyDescent="0.35"/>
    <row r="101" ht="50.1" customHeight="1" x14ac:dyDescent="0.35"/>
    <row r="102" ht="50.1" customHeight="1" x14ac:dyDescent="0.35"/>
    <row r="103" ht="50.1" customHeight="1" x14ac:dyDescent="0.35"/>
    <row r="104" ht="50.1" customHeight="1" x14ac:dyDescent="0.35"/>
    <row r="105" ht="50.1" customHeight="1" x14ac:dyDescent="0.35"/>
    <row r="106" ht="50.1" customHeight="1" x14ac:dyDescent="0.35"/>
    <row r="107" ht="50.1" customHeight="1" x14ac:dyDescent="0.35"/>
    <row r="108" ht="50.1" customHeight="1" x14ac:dyDescent="0.35"/>
    <row r="109" ht="50.1" customHeight="1" x14ac:dyDescent="0.35"/>
    <row r="110" ht="50.1" customHeight="1" x14ac:dyDescent="0.35"/>
    <row r="111" ht="50.1" customHeight="1" x14ac:dyDescent="0.35"/>
    <row r="112" ht="50.1" customHeight="1" x14ac:dyDescent="0.35"/>
    <row r="113" ht="50.1" customHeight="1" x14ac:dyDescent="0.35"/>
    <row r="114" ht="50.1" customHeight="1" x14ac:dyDescent="0.35"/>
    <row r="115" ht="50.1" customHeight="1" x14ac:dyDescent="0.35"/>
    <row r="116" ht="50.1" customHeight="1" x14ac:dyDescent="0.35"/>
    <row r="117" ht="50.1" customHeight="1" x14ac:dyDescent="0.35"/>
    <row r="118" ht="50.1" customHeight="1" x14ac:dyDescent="0.35"/>
    <row r="119" ht="50.1" customHeight="1" x14ac:dyDescent="0.35"/>
    <row r="120" ht="50.1" customHeight="1" x14ac:dyDescent="0.35"/>
    <row r="121" ht="50.1" customHeight="1" x14ac:dyDescent="0.35"/>
    <row r="122" ht="50.1" customHeight="1" x14ac:dyDescent="0.35"/>
    <row r="123" ht="50.1" customHeight="1" x14ac:dyDescent="0.35"/>
    <row r="124" ht="50.1" customHeight="1" x14ac:dyDescent="0.35"/>
    <row r="125" ht="50.1" customHeight="1" x14ac:dyDescent="0.35"/>
    <row r="126" ht="50.1" customHeight="1" x14ac:dyDescent="0.35"/>
    <row r="127" ht="50.1" customHeight="1" x14ac:dyDescent="0.35"/>
    <row r="128" ht="50.1" customHeight="1" x14ac:dyDescent="0.35"/>
    <row r="129" ht="50.1" customHeight="1" x14ac:dyDescent="0.35"/>
    <row r="130" ht="50.1" customHeight="1" x14ac:dyDescent="0.35"/>
    <row r="131" ht="50.1" customHeight="1" x14ac:dyDescent="0.35"/>
    <row r="132" ht="50.1" customHeight="1" x14ac:dyDescent="0.35"/>
    <row r="133" ht="50.1" customHeight="1" x14ac:dyDescent="0.35"/>
    <row r="134" ht="50.1" customHeight="1" x14ac:dyDescent="0.35"/>
    <row r="135" ht="50.1" customHeight="1" x14ac:dyDescent="0.35"/>
    <row r="136" ht="50.1" customHeight="1" x14ac:dyDescent="0.35"/>
    <row r="137" ht="50.1" customHeight="1" x14ac:dyDescent="0.35"/>
    <row r="138" ht="50.1" customHeight="1" x14ac:dyDescent="0.35"/>
    <row r="139" ht="50.1" customHeight="1" x14ac:dyDescent="0.35"/>
    <row r="140" ht="50.1" customHeight="1" x14ac:dyDescent="0.35"/>
    <row r="141" ht="50.1" customHeight="1" x14ac:dyDescent="0.35"/>
    <row r="142" ht="50.1" customHeight="1" x14ac:dyDescent="0.35"/>
    <row r="143" ht="50.1" customHeight="1" x14ac:dyDescent="0.35"/>
    <row r="144" ht="50.1" customHeight="1" x14ac:dyDescent="0.35"/>
    <row r="145" ht="50.1" customHeight="1" x14ac:dyDescent="0.35"/>
    <row r="146" ht="50.1" customHeight="1" x14ac:dyDescent="0.35"/>
    <row r="147" ht="50.1" customHeight="1" x14ac:dyDescent="0.35"/>
    <row r="148" ht="50.1" customHeight="1" x14ac:dyDescent="0.35"/>
    <row r="149" ht="50.1" customHeight="1" x14ac:dyDescent="0.35"/>
    <row r="150" ht="50.1" customHeight="1" x14ac:dyDescent="0.35"/>
    <row r="151" ht="50.1" customHeight="1" x14ac:dyDescent="0.35"/>
    <row r="152" ht="50.1" customHeight="1" x14ac:dyDescent="0.35"/>
    <row r="153" ht="50.1" customHeight="1" x14ac:dyDescent="0.35"/>
    <row r="154" ht="50.1" customHeight="1" x14ac:dyDescent="0.35"/>
    <row r="155" ht="50.1" customHeight="1" x14ac:dyDescent="0.35"/>
    <row r="156" ht="50.1" customHeight="1" x14ac:dyDescent="0.35"/>
    <row r="157" ht="50.1" customHeight="1" x14ac:dyDescent="0.35"/>
    <row r="158" ht="50.1" customHeight="1" x14ac:dyDescent="0.35"/>
    <row r="159" ht="50.1" customHeight="1" x14ac:dyDescent="0.35"/>
    <row r="160" ht="50.1" customHeight="1" x14ac:dyDescent="0.35"/>
    <row r="161" ht="50.1" customHeight="1" x14ac:dyDescent="0.35"/>
    <row r="162" ht="50.1" customHeight="1" x14ac:dyDescent="0.35"/>
    <row r="163" ht="50.1" customHeight="1" x14ac:dyDescent="0.35"/>
    <row r="164" ht="50.1" customHeight="1" x14ac:dyDescent="0.35"/>
    <row r="165" ht="50.1" customHeight="1" x14ac:dyDescent="0.35"/>
    <row r="166" ht="50.1" customHeight="1" x14ac:dyDescent="0.35"/>
    <row r="167" ht="50.1" customHeight="1" x14ac:dyDescent="0.35"/>
    <row r="168" ht="50.1" customHeight="1" x14ac:dyDescent="0.35"/>
    <row r="169" ht="50.1" customHeight="1" x14ac:dyDescent="0.35"/>
    <row r="170" ht="50.1" customHeight="1" x14ac:dyDescent="0.35"/>
    <row r="171" ht="50.1" customHeight="1" x14ac:dyDescent="0.35"/>
    <row r="172" ht="50.1" customHeight="1" x14ac:dyDescent="0.35"/>
    <row r="173" ht="50.1" customHeight="1" x14ac:dyDescent="0.35"/>
    <row r="174" ht="50.1" customHeight="1" x14ac:dyDescent="0.35"/>
    <row r="175" ht="50.1" customHeight="1" x14ac:dyDescent="0.35"/>
    <row r="176" ht="50.1" customHeight="1" x14ac:dyDescent="0.35"/>
    <row r="177" ht="50.1" customHeight="1" x14ac:dyDescent="0.35"/>
    <row r="178" ht="50.1" customHeight="1" x14ac:dyDescent="0.35"/>
    <row r="179" ht="50.1" customHeight="1" x14ac:dyDescent="0.35"/>
    <row r="180" ht="50.1" customHeight="1" x14ac:dyDescent="0.35"/>
    <row r="181" ht="50.1" customHeight="1" x14ac:dyDescent="0.35"/>
    <row r="182" ht="50.1" customHeight="1" x14ac:dyDescent="0.35"/>
    <row r="183" ht="50.1" customHeight="1" x14ac:dyDescent="0.35"/>
    <row r="184" ht="50.1" customHeight="1" x14ac:dyDescent="0.35"/>
    <row r="185" ht="50.1" customHeight="1" x14ac:dyDescent="0.35"/>
    <row r="186" ht="50.1" customHeight="1" x14ac:dyDescent="0.35"/>
    <row r="187" ht="50.1" customHeight="1" x14ac:dyDescent="0.35"/>
    <row r="188" ht="50.1" customHeight="1" x14ac:dyDescent="0.35"/>
    <row r="189" ht="50.1" customHeight="1" x14ac:dyDescent="0.35"/>
    <row r="190" ht="50.1" customHeight="1" x14ac:dyDescent="0.35"/>
  </sheetData>
  <pageMargins left="0.75" right="0.75" top="1" bottom="1" header="0.5" footer="0.5"/>
  <pageSetup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45"/>
  <sheetViews>
    <sheetView zoomScaleNormal="100" workbookViewId="0">
      <selection activeCell="C10" sqref="C10"/>
    </sheetView>
  </sheetViews>
  <sheetFormatPr defaultRowHeight="12.75" x14ac:dyDescent="0.2"/>
  <cols>
    <col min="1" max="1" width="29.85546875" customWidth="1"/>
    <col min="2" max="2" width="17.7109375" customWidth="1"/>
    <col min="3" max="3" width="22.5703125" customWidth="1"/>
  </cols>
  <sheetData>
    <row r="1" spans="1:3" ht="80.25" customHeight="1" x14ac:dyDescent="0.2">
      <c r="A1" s="81" t="s">
        <v>62</v>
      </c>
      <c r="B1" s="81"/>
      <c r="C1" s="81"/>
    </row>
    <row r="2" spans="1:3" x14ac:dyDescent="0.2">
      <c r="A2" s="3" t="s">
        <v>12</v>
      </c>
      <c r="B2" s="29">
        <v>3905.1833999999999</v>
      </c>
    </row>
    <row r="3" spans="1:3" x14ac:dyDescent="0.2">
      <c r="A3" s="3" t="s">
        <v>13</v>
      </c>
      <c r="B3" s="29">
        <v>2534.5205000000001</v>
      </c>
    </row>
    <row r="4" spans="1:3" x14ac:dyDescent="0.2">
      <c r="A4" s="3" t="s">
        <v>3</v>
      </c>
      <c r="B4" s="29">
        <f>B2-B3</f>
        <v>1370.6628999999998</v>
      </c>
    </row>
    <row r="5" spans="1:3" x14ac:dyDescent="0.2">
      <c r="A5" s="3"/>
      <c r="B5" s="4"/>
    </row>
    <row r="6" spans="1:3" x14ac:dyDescent="0.2">
      <c r="A6" s="20" t="s">
        <v>54</v>
      </c>
      <c r="B6" s="4"/>
    </row>
    <row r="7" spans="1:3" x14ac:dyDescent="0.2">
      <c r="A7" s="14" t="s">
        <v>17</v>
      </c>
      <c r="B7" s="14" t="s">
        <v>14</v>
      </c>
      <c r="C7" s="15" t="s">
        <v>18</v>
      </c>
    </row>
    <row r="8" spans="1:3" x14ac:dyDescent="0.2">
      <c r="C8" s="8"/>
    </row>
    <row r="9" spans="1:3" x14ac:dyDescent="0.2">
      <c r="C9" s="8"/>
    </row>
    <row r="10" spans="1:3" x14ac:dyDescent="0.2">
      <c r="C10" s="8"/>
    </row>
    <row r="11" spans="1:3" x14ac:dyDescent="0.2">
      <c r="C11" s="8"/>
    </row>
    <row r="12" spans="1:3" x14ac:dyDescent="0.2">
      <c r="C12" s="8"/>
    </row>
    <row r="13" spans="1:3" x14ac:dyDescent="0.2">
      <c r="C13" s="8"/>
    </row>
    <row r="14" spans="1:3" x14ac:dyDescent="0.2">
      <c r="C14" s="8"/>
    </row>
    <row r="15" spans="1:3" x14ac:dyDescent="0.2">
      <c r="C15" s="8"/>
    </row>
    <row r="16" spans="1:3" x14ac:dyDescent="0.2">
      <c r="C16" s="8"/>
    </row>
    <row r="17" spans="1:3" x14ac:dyDescent="0.2">
      <c r="C17" s="8"/>
    </row>
    <row r="18" spans="1:3" ht="25.5" x14ac:dyDescent="0.2">
      <c r="A18" s="17" t="s">
        <v>19</v>
      </c>
      <c r="C18" s="8"/>
    </row>
    <row r="19" spans="1:3" x14ac:dyDescent="0.2">
      <c r="A19" s="3" t="s">
        <v>20</v>
      </c>
      <c r="B19" s="31">
        <f>B2</f>
        <v>3905.1833999999999</v>
      </c>
      <c r="C19" s="8"/>
    </row>
    <row r="20" spans="1:3" ht="15" customHeight="1" x14ac:dyDescent="0.2">
      <c r="A20" s="16" t="s">
        <v>21</v>
      </c>
      <c r="B20" s="32">
        <f>B3</f>
        <v>2534.5205000000001</v>
      </c>
      <c r="C20" s="9"/>
    </row>
    <row r="21" spans="1:3" x14ac:dyDescent="0.2">
      <c r="A21" s="19" t="s">
        <v>15</v>
      </c>
      <c r="B21" s="18"/>
      <c r="C21" s="22"/>
    </row>
    <row r="22" spans="1:3" ht="13.5" thickBot="1" x14ac:dyDescent="0.25">
      <c r="A22" s="18"/>
      <c r="B22" s="18"/>
      <c r="C22" s="23"/>
    </row>
    <row r="23" spans="1:3" x14ac:dyDescent="0.2">
      <c r="A23" s="3" t="s">
        <v>16</v>
      </c>
      <c r="B23" s="10"/>
      <c r="C23" s="11"/>
    </row>
    <row r="24" spans="1:3" ht="13.5" thickBot="1" x14ac:dyDescent="0.25">
      <c r="B24" s="12"/>
      <c r="C24" s="13"/>
    </row>
    <row r="26" spans="1:3" x14ac:dyDescent="0.2">
      <c r="A26" s="21" t="s">
        <v>54</v>
      </c>
      <c r="B26" s="18"/>
      <c r="C26" s="18"/>
    </row>
    <row r="27" spans="1:3" x14ac:dyDescent="0.2">
      <c r="A27" s="18"/>
      <c r="B27" s="18"/>
      <c r="C27" s="18"/>
    </row>
    <row r="28" spans="1:3" x14ac:dyDescent="0.2">
      <c r="A28" s="14" t="s">
        <v>17</v>
      </c>
      <c r="B28" s="14" t="s">
        <v>14</v>
      </c>
      <c r="C28" s="15" t="s">
        <v>18</v>
      </c>
    </row>
    <row r="29" spans="1:3" x14ac:dyDescent="0.2">
      <c r="C29" s="8"/>
    </row>
    <row r="30" spans="1:3" x14ac:dyDescent="0.2">
      <c r="C30" s="8"/>
    </row>
    <row r="31" spans="1:3" x14ac:dyDescent="0.2">
      <c r="C31" s="8"/>
    </row>
    <row r="32" spans="1:3" x14ac:dyDescent="0.2">
      <c r="C32" s="8"/>
    </row>
    <row r="33" spans="1:3" x14ac:dyDescent="0.2">
      <c r="C33" s="8"/>
    </row>
    <row r="34" spans="1:3" x14ac:dyDescent="0.2">
      <c r="C34" s="8"/>
    </row>
    <row r="35" spans="1:3" x14ac:dyDescent="0.2">
      <c r="C35" s="8"/>
    </row>
    <row r="36" spans="1:3" x14ac:dyDescent="0.2">
      <c r="C36" s="8"/>
    </row>
    <row r="37" spans="1:3" x14ac:dyDescent="0.2">
      <c r="C37" s="8"/>
    </row>
    <row r="38" spans="1:3" x14ac:dyDescent="0.2">
      <c r="C38" s="8"/>
    </row>
    <row r="39" spans="1:3" ht="25.5" x14ac:dyDescent="0.2">
      <c r="A39" s="17" t="s">
        <v>19</v>
      </c>
      <c r="C39" s="8"/>
    </row>
    <row r="40" spans="1:3" x14ac:dyDescent="0.2">
      <c r="A40" s="3" t="s">
        <v>20</v>
      </c>
      <c r="B40" s="31">
        <f>B2</f>
        <v>3905.1833999999999</v>
      </c>
      <c r="C40" s="8"/>
    </row>
    <row r="41" spans="1:3" x14ac:dyDescent="0.2">
      <c r="A41" s="16" t="s">
        <v>21</v>
      </c>
      <c r="B41" s="32">
        <f>B3</f>
        <v>2534.5205000000001</v>
      </c>
      <c r="C41" s="9"/>
    </row>
    <row r="42" spans="1:3" x14ac:dyDescent="0.2">
      <c r="A42" s="19" t="s">
        <v>15</v>
      </c>
      <c r="B42" s="18"/>
      <c r="C42" s="22"/>
    </row>
    <row r="43" spans="1:3" ht="13.5" thickBot="1" x14ac:dyDescent="0.25">
      <c r="A43" s="18"/>
      <c r="B43" s="18"/>
      <c r="C43" s="23"/>
    </row>
    <row r="44" spans="1:3" x14ac:dyDescent="0.2">
      <c r="A44" s="3" t="s">
        <v>16</v>
      </c>
      <c r="B44" s="10"/>
      <c r="C44" s="11"/>
    </row>
    <row r="45" spans="1:3" ht="13.5" thickBot="1" x14ac:dyDescent="0.25">
      <c r="A45" s="33"/>
      <c r="B45" s="12"/>
      <c r="C45" s="13"/>
    </row>
  </sheetData>
  <mergeCells count="1">
    <mergeCell ref="A1:C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O33"/>
  <sheetViews>
    <sheetView workbookViewId="0">
      <selection activeCell="D33" sqref="D33"/>
    </sheetView>
  </sheetViews>
  <sheetFormatPr defaultRowHeight="12.75" x14ac:dyDescent="0.2"/>
  <cols>
    <col min="1" max="2" width="15.85546875" customWidth="1"/>
    <col min="3" max="3" width="13.42578125" customWidth="1"/>
    <col min="4" max="4" width="11.5703125" bestFit="1" customWidth="1"/>
    <col min="5" max="5" width="10.7109375" bestFit="1" customWidth="1"/>
    <col min="6" max="6" width="12.7109375" customWidth="1"/>
    <col min="7" max="7" width="14.5703125" customWidth="1"/>
    <col min="8" max="8" width="19.42578125" customWidth="1"/>
    <col min="11" max="11" width="11.28515625" bestFit="1" customWidth="1"/>
    <col min="12" max="12" width="13" customWidth="1"/>
    <col min="13" max="13" width="11.28515625" bestFit="1" customWidth="1"/>
  </cols>
  <sheetData>
    <row r="1" spans="1:15" x14ac:dyDescent="0.2">
      <c r="A1" s="3"/>
      <c r="B1" s="3" t="s">
        <v>29</v>
      </c>
      <c r="C1" s="3" t="s">
        <v>1</v>
      </c>
      <c r="D1" s="3" t="s">
        <v>2</v>
      </c>
      <c r="E1" s="3" t="s">
        <v>3</v>
      </c>
      <c r="F1" s="3" t="s">
        <v>4</v>
      </c>
      <c r="G1" s="3" t="s">
        <v>11</v>
      </c>
      <c r="H1" s="35" t="s">
        <v>39</v>
      </c>
      <c r="M1" t="s">
        <v>4</v>
      </c>
    </row>
    <row r="2" spans="1:15" x14ac:dyDescent="0.2">
      <c r="A2">
        <v>1</v>
      </c>
      <c r="C2" s="29">
        <v>9184.5889999999999</v>
      </c>
      <c r="D2" s="36">
        <v>35.844499999999996</v>
      </c>
      <c r="E2" s="36">
        <v>9148.7445000000007</v>
      </c>
      <c r="F2" s="29">
        <v>520</v>
      </c>
      <c r="G2" s="37">
        <f>SUM($E$2:E2)-F2</f>
        <v>8628.7445000000007</v>
      </c>
      <c r="H2" s="4">
        <f t="shared" ref="H2:H26" si="0">2*$D$28*A2</f>
        <v>130</v>
      </c>
      <c r="K2" s="4"/>
      <c r="L2" s="31">
        <f>C2+SUM(D3:$D$21)</f>
        <v>42620.270799999998</v>
      </c>
      <c r="M2" s="29">
        <f t="shared" ref="M2:M19" si="1">$D$28*A2^2</f>
        <v>65</v>
      </c>
      <c r="N2" s="31">
        <f>L2-M2</f>
        <v>42555.270799999998</v>
      </c>
      <c r="O2">
        <f>IF(N2=$N$29,1,0)*A2</f>
        <v>0</v>
      </c>
    </row>
    <row r="3" spans="1:15" x14ac:dyDescent="0.2">
      <c r="A3">
        <v>2</v>
      </c>
      <c r="C3" s="29">
        <v>7370.3779999999997</v>
      </c>
      <c r="D3" s="36">
        <v>3076.5131999999999</v>
      </c>
      <c r="E3" s="36">
        <v>4293.8648000000003</v>
      </c>
      <c r="F3" s="29">
        <v>910</v>
      </c>
      <c r="G3" s="37">
        <f>SUM($E$2:E3)-F3</f>
        <v>12532.6093</v>
      </c>
      <c r="H3" s="4">
        <f t="shared" si="0"/>
        <v>260</v>
      </c>
      <c r="K3" s="4"/>
      <c r="L3" s="31">
        <f>IF(C3&gt;0,SUM($C$2:C3)+SUM(D4:$D$26),0)</f>
        <v>46914.135600000001</v>
      </c>
      <c r="M3" s="29">
        <f t="shared" si="1"/>
        <v>260</v>
      </c>
      <c r="N3" s="31">
        <f t="shared" ref="N3:N26" si="2">L3-M3</f>
        <v>46654.135600000001</v>
      </c>
      <c r="O3">
        <f t="shared" ref="O3:O26" si="3">IF(N3=$N$29,1,0)*A3</f>
        <v>0</v>
      </c>
    </row>
    <row r="4" spans="1:15" x14ac:dyDescent="0.2">
      <c r="A4">
        <v>3</v>
      </c>
      <c r="C4" s="29">
        <v>5630.3131000000003</v>
      </c>
      <c r="D4" s="36">
        <v>2086.4944999999998</v>
      </c>
      <c r="E4" s="36">
        <v>3543.8186000000001</v>
      </c>
      <c r="F4" s="29">
        <v>65</v>
      </c>
      <c r="G4" s="37">
        <f>SUM($E$2:E4)-F4</f>
        <v>16921.427899999999</v>
      </c>
      <c r="H4" s="4">
        <f t="shared" si="0"/>
        <v>390</v>
      </c>
      <c r="K4" s="4"/>
      <c r="L4" s="31">
        <f>IF(C4&gt;0,SUM($C$2:C4)+SUM(D5:$D$26),0)</f>
        <v>50457.9542</v>
      </c>
      <c r="M4" s="29">
        <f t="shared" si="1"/>
        <v>585</v>
      </c>
      <c r="N4" s="31">
        <f t="shared" si="2"/>
        <v>49872.9542</v>
      </c>
      <c r="O4">
        <f t="shared" si="3"/>
        <v>0</v>
      </c>
    </row>
    <row r="5" spans="1:15" x14ac:dyDescent="0.2">
      <c r="A5">
        <v>4</v>
      </c>
      <c r="C5" s="29">
        <v>3868.8533000000002</v>
      </c>
      <c r="D5" s="36">
        <v>1081.3181</v>
      </c>
      <c r="E5" s="36">
        <v>2787.5351999999998</v>
      </c>
      <c r="F5" s="29">
        <v>260</v>
      </c>
      <c r="G5" s="37">
        <f>SUM($E$2:E5)-F5</f>
        <v>19513.963099999997</v>
      </c>
      <c r="H5" s="4">
        <f t="shared" si="0"/>
        <v>520</v>
      </c>
      <c r="K5" s="4"/>
      <c r="L5" s="31">
        <f>IF(C5&gt;0,SUM($C$2:C5)+SUM(D6:$D$26),0)</f>
        <v>53245.489400000006</v>
      </c>
      <c r="M5" s="29">
        <f t="shared" si="1"/>
        <v>1040</v>
      </c>
      <c r="N5" s="31">
        <f t="shared" si="2"/>
        <v>52205.489400000006</v>
      </c>
      <c r="O5">
        <f t="shared" si="3"/>
        <v>0</v>
      </c>
    </row>
    <row r="6" spans="1:15" x14ac:dyDescent="0.2">
      <c r="A6">
        <v>5</v>
      </c>
      <c r="C6" s="29">
        <v>5969.2768999999998</v>
      </c>
      <c r="D6" s="36">
        <v>3219.1158</v>
      </c>
      <c r="E6" s="36">
        <v>2750.1610999999998</v>
      </c>
      <c r="F6" s="29">
        <v>455</v>
      </c>
      <c r="G6" s="37">
        <f>SUM($E$2:E6)-F6</f>
        <v>22069.124199999998</v>
      </c>
      <c r="H6" s="4">
        <f t="shared" si="0"/>
        <v>650</v>
      </c>
      <c r="K6" s="4"/>
      <c r="L6" s="31">
        <f>IF(C6&gt;0,SUM($C$2:C6)+SUM(D7:$D$26),0)</f>
        <v>55995.650500000003</v>
      </c>
      <c r="M6" s="29">
        <f t="shared" si="1"/>
        <v>1625</v>
      </c>
      <c r="N6" s="31">
        <f t="shared" si="2"/>
        <v>54370.650500000003</v>
      </c>
      <c r="O6">
        <f t="shared" si="3"/>
        <v>0</v>
      </c>
    </row>
    <row r="7" spans="1:15" x14ac:dyDescent="0.2">
      <c r="A7">
        <v>6</v>
      </c>
      <c r="C7" s="29">
        <v>2325.3892000000001</v>
      </c>
      <c r="D7" s="36">
        <v>102.2405</v>
      </c>
      <c r="E7" s="36">
        <v>2223.1487000000002</v>
      </c>
      <c r="F7" s="29">
        <v>650</v>
      </c>
      <c r="G7" s="37">
        <f>SUM($E$2:E7)-F7</f>
        <v>24097.2729</v>
      </c>
      <c r="H7" s="4">
        <f t="shared" si="0"/>
        <v>780</v>
      </c>
      <c r="K7" s="4"/>
      <c r="L7" s="31">
        <f>IF(C7&gt;0,SUM($C$2:C7)+SUM(D8:$D$26),0)</f>
        <v>58218.799200000001</v>
      </c>
      <c r="M7" s="29">
        <f t="shared" si="1"/>
        <v>2340</v>
      </c>
      <c r="N7" s="31">
        <f t="shared" si="2"/>
        <v>55878.799200000001</v>
      </c>
      <c r="O7">
        <f t="shared" si="3"/>
        <v>0</v>
      </c>
    </row>
    <row r="8" spans="1:15" x14ac:dyDescent="0.2">
      <c r="A8">
        <v>7</v>
      </c>
      <c r="C8" s="29">
        <v>5020.7237999999998</v>
      </c>
      <c r="D8" s="36">
        <v>2868.5037000000002</v>
      </c>
      <c r="E8" s="36">
        <v>2152.2201</v>
      </c>
      <c r="F8" s="29">
        <v>390</v>
      </c>
      <c r="G8" s="37">
        <f>SUM($E$2:E8)-F8</f>
        <v>26509.492999999999</v>
      </c>
      <c r="H8" s="4">
        <f t="shared" si="0"/>
        <v>910</v>
      </c>
      <c r="K8" s="4"/>
      <c r="L8" s="31">
        <f>IF(C8&gt;0,SUM($C$2:C8)+SUM(D9:$D$26),0)</f>
        <v>60371.0193</v>
      </c>
      <c r="M8" s="29">
        <f t="shared" si="1"/>
        <v>3185</v>
      </c>
      <c r="N8" s="31">
        <f t="shared" si="2"/>
        <v>57186.0193</v>
      </c>
      <c r="O8">
        <f t="shared" si="3"/>
        <v>0</v>
      </c>
    </row>
    <row r="9" spans="1:15" x14ac:dyDescent="0.2">
      <c r="A9">
        <v>8</v>
      </c>
      <c r="C9" s="29">
        <v>3905.1833999999999</v>
      </c>
      <c r="D9" s="36">
        <v>2534.5205000000001</v>
      </c>
      <c r="E9" s="36">
        <v>1370.663</v>
      </c>
      <c r="F9" s="29">
        <v>975</v>
      </c>
      <c r="G9" s="37">
        <f>SUM($E$2:E9)-F9</f>
        <v>27295.155999999999</v>
      </c>
      <c r="H9" s="4">
        <f t="shared" si="0"/>
        <v>1040</v>
      </c>
      <c r="K9" s="4"/>
      <c r="L9" s="31">
        <f>IF(C9&gt;0,SUM($C$2:C9)+SUM(D10:$D$26),0)</f>
        <v>61741.682200000003</v>
      </c>
      <c r="M9" s="29">
        <f t="shared" si="1"/>
        <v>4160</v>
      </c>
      <c r="N9" s="31">
        <f t="shared" si="2"/>
        <v>57581.682200000003</v>
      </c>
      <c r="O9">
        <f t="shared" si="3"/>
        <v>0</v>
      </c>
    </row>
    <row r="10" spans="1:15" s="7" customFormat="1" x14ac:dyDescent="0.2">
      <c r="A10">
        <v>9</v>
      </c>
      <c r="B10"/>
      <c r="C10" s="29">
        <v>1895.4483</v>
      </c>
      <c r="D10" s="36">
        <v>677.09540000000004</v>
      </c>
      <c r="E10" s="36">
        <v>1218.3530000000001</v>
      </c>
      <c r="F10" s="29">
        <v>845</v>
      </c>
      <c r="G10" s="37">
        <f>SUM($E$2:E10)-F10</f>
        <v>28643.508999999998</v>
      </c>
      <c r="H10" s="4">
        <f t="shared" si="0"/>
        <v>1170</v>
      </c>
      <c r="I10"/>
      <c r="J10"/>
      <c r="K10" s="4"/>
      <c r="L10" s="31">
        <f>IF(C10&gt;0,SUM($C$2:C10)+SUM(D11:$D$26),0)</f>
        <v>62960.035099999994</v>
      </c>
      <c r="M10" s="29">
        <f t="shared" si="1"/>
        <v>5265</v>
      </c>
      <c r="N10" s="31">
        <f t="shared" si="2"/>
        <v>57695.035099999994</v>
      </c>
      <c r="O10">
        <f t="shared" si="3"/>
        <v>9</v>
      </c>
    </row>
    <row r="11" spans="1:15" x14ac:dyDescent="0.2">
      <c r="A11">
        <v>10</v>
      </c>
      <c r="C11" s="29">
        <v>5003.1832000000004</v>
      </c>
      <c r="D11" s="36">
        <v>4098.2611999999999</v>
      </c>
      <c r="E11" s="36">
        <v>904.92200000000003</v>
      </c>
      <c r="F11" s="29">
        <v>780</v>
      </c>
      <c r="G11" s="37">
        <f>SUM($E$2:E11)-F11</f>
        <v>29613.430999999997</v>
      </c>
      <c r="H11" s="4">
        <f t="shared" si="0"/>
        <v>1300</v>
      </c>
      <c r="K11" s="4"/>
      <c r="L11" s="31">
        <f>IF(C11&gt;0,SUM($C$2:C11)+SUM(D12:$D$26),0)</f>
        <v>63864.9571</v>
      </c>
      <c r="M11" s="29">
        <f t="shared" si="1"/>
        <v>6500</v>
      </c>
      <c r="N11" s="31">
        <f t="shared" si="2"/>
        <v>57364.9571</v>
      </c>
      <c r="O11">
        <f t="shared" si="3"/>
        <v>0</v>
      </c>
    </row>
    <row r="12" spans="1:15" x14ac:dyDescent="0.2">
      <c r="A12">
        <v>11</v>
      </c>
      <c r="C12" s="29">
        <v>5370.3885</v>
      </c>
      <c r="D12" s="36">
        <v>4477.1320999999998</v>
      </c>
      <c r="E12" s="36">
        <v>893.25639999999999</v>
      </c>
      <c r="F12" s="29">
        <v>130</v>
      </c>
      <c r="G12" s="37">
        <f>SUM($E$2:E12)-F12</f>
        <v>31156.687399999995</v>
      </c>
      <c r="H12" s="4">
        <f t="shared" si="0"/>
        <v>1430</v>
      </c>
      <c r="K12" s="4"/>
      <c r="L12" s="31">
        <f>IF(C12&gt;0,SUM($C$2:C12)+SUM(D13:$D$26),0)</f>
        <v>64758.213499999998</v>
      </c>
      <c r="M12" s="29">
        <f t="shared" si="1"/>
        <v>7865</v>
      </c>
      <c r="N12" s="31">
        <f t="shared" si="2"/>
        <v>56893.213499999998</v>
      </c>
      <c r="O12">
        <f t="shared" si="3"/>
        <v>0</v>
      </c>
    </row>
    <row r="13" spans="1:15" x14ac:dyDescent="0.2">
      <c r="A13">
        <v>12</v>
      </c>
      <c r="C13" s="29">
        <v>5294.6602999999996</v>
      </c>
      <c r="D13" s="36">
        <v>4511.9192000000003</v>
      </c>
      <c r="E13" s="36">
        <v>782.74109999999996</v>
      </c>
      <c r="F13" s="29">
        <v>195</v>
      </c>
      <c r="G13" s="37">
        <f>SUM($E$2:E13)-F13</f>
        <v>31874.428499999995</v>
      </c>
      <c r="H13" s="4">
        <f t="shared" si="0"/>
        <v>1560</v>
      </c>
      <c r="K13" s="4"/>
      <c r="L13" s="31">
        <f>IF(C13&gt;0,SUM($C$2:C13)+SUM(D14:$D$26),0)</f>
        <v>65540.954599999997</v>
      </c>
      <c r="M13" s="29">
        <f t="shared" si="1"/>
        <v>9360</v>
      </c>
      <c r="N13" s="31">
        <f t="shared" si="2"/>
        <v>56180.954599999997</v>
      </c>
      <c r="O13">
        <f t="shared" si="3"/>
        <v>0</v>
      </c>
    </row>
    <row r="14" spans="1:15" x14ac:dyDescent="0.2">
      <c r="A14">
        <v>13</v>
      </c>
      <c r="C14" s="29">
        <v>2817.2530000000002</v>
      </c>
      <c r="D14" s="36">
        <v>2185.3987000000002</v>
      </c>
      <c r="E14" s="36">
        <v>631.85429999999997</v>
      </c>
      <c r="F14" s="29">
        <v>715</v>
      </c>
      <c r="G14" s="37">
        <f>SUM($E$2:E14)-F14</f>
        <v>31986.282799999994</v>
      </c>
      <c r="H14" s="4">
        <f t="shared" si="0"/>
        <v>1690</v>
      </c>
      <c r="K14" s="4"/>
      <c r="L14" s="31">
        <f>IF(C14&gt;0,SUM($C$2:C14)+SUM(D15:$D$26),0)</f>
        <v>66172.808900000004</v>
      </c>
      <c r="M14" s="29">
        <f t="shared" si="1"/>
        <v>10985</v>
      </c>
      <c r="N14" s="31">
        <f t="shared" si="2"/>
        <v>55187.808900000004</v>
      </c>
      <c r="O14">
        <f t="shared" si="3"/>
        <v>0</v>
      </c>
    </row>
    <row r="15" spans="1:15" x14ac:dyDescent="0.2">
      <c r="A15">
        <v>14</v>
      </c>
      <c r="C15" s="29">
        <v>2976.1282999999999</v>
      </c>
      <c r="D15" s="36">
        <v>2511.9328999999998</v>
      </c>
      <c r="E15" s="36">
        <v>464.19529999999997</v>
      </c>
      <c r="F15" s="29">
        <v>585</v>
      </c>
      <c r="G15" s="37">
        <f>SUM($E$2:E15)-F15</f>
        <v>32580.478099999993</v>
      </c>
      <c r="H15" s="4">
        <f t="shared" si="0"/>
        <v>1820</v>
      </c>
      <c r="K15" s="4"/>
      <c r="L15" s="31">
        <f>IF(C15&gt;0,SUM($C$2:C15)+SUM(D16:$D$26),0)</f>
        <v>66637.004300000001</v>
      </c>
      <c r="M15" s="29">
        <f t="shared" si="1"/>
        <v>12740</v>
      </c>
      <c r="N15" s="31">
        <f t="shared" si="2"/>
        <v>53897.004300000001</v>
      </c>
      <c r="O15">
        <f t="shared" si="3"/>
        <v>0</v>
      </c>
    </row>
    <row r="16" spans="1:15" x14ac:dyDescent="0.2">
      <c r="A16">
        <v>15</v>
      </c>
      <c r="C16" s="29">
        <v>13.0284</v>
      </c>
      <c r="D16" s="36">
        <v>5.2359999999999998</v>
      </c>
      <c r="E16" s="36">
        <v>7.7923999999999998</v>
      </c>
      <c r="F16" s="29">
        <v>325</v>
      </c>
      <c r="G16" s="37">
        <f>SUM($E$2:E16)-F16</f>
        <v>32848.270499999991</v>
      </c>
      <c r="H16" s="4">
        <f t="shared" si="0"/>
        <v>1950</v>
      </c>
      <c r="K16" s="4"/>
      <c r="L16" s="31">
        <f>IF(C16&gt;0,SUM($C$2:C16)+SUM(D17:$D$26),0)</f>
        <v>66644.796699999992</v>
      </c>
      <c r="M16" s="29">
        <f t="shared" si="1"/>
        <v>14625</v>
      </c>
      <c r="N16" s="31">
        <f t="shared" si="2"/>
        <v>52019.796699999992</v>
      </c>
      <c r="O16">
        <f t="shared" si="3"/>
        <v>0</v>
      </c>
    </row>
    <row r="17" spans="1:15" x14ac:dyDescent="0.2">
      <c r="C17" s="29"/>
      <c r="D17" s="36"/>
      <c r="E17" s="36"/>
      <c r="F17" s="29"/>
      <c r="G17" s="37">
        <f>SUM($E$2:E17)-F17</f>
        <v>33173.270499999991</v>
      </c>
      <c r="H17" s="4">
        <f t="shared" si="0"/>
        <v>0</v>
      </c>
      <c r="K17" s="4"/>
      <c r="L17" s="31">
        <f>IF(C17&gt;0,SUM($C$2:C17)+SUM(D18:$D$26),0)</f>
        <v>0</v>
      </c>
      <c r="M17" s="29">
        <f t="shared" si="1"/>
        <v>0</v>
      </c>
      <c r="N17" s="31">
        <f t="shared" si="2"/>
        <v>0</v>
      </c>
      <c r="O17">
        <f t="shared" si="3"/>
        <v>0</v>
      </c>
    </row>
    <row r="18" spans="1:15" x14ac:dyDescent="0.2">
      <c r="A18" s="6"/>
      <c r="C18" s="29"/>
      <c r="D18" s="36"/>
      <c r="E18" s="36"/>
      <c r="F18" s="29"/>
      <c r="G18" s="37">
        <f>SUM($E$2:E18)-F18</f>
        <v>33173.270499999991</v>
      </c>
      <c r="H18" s="4">
        <f t="shared" si="0"/>
        <v>0</v>
      </c>
      <c r="K18" s="4"/>
      <c r="L18" s="31">
        <f>IF(C18&gt;0,SUM($C$2:C18)+SUM(D19:$D$26),0)</f>
        <v>0</v>
      </c>
      <c r="M18" s="29">
        <f t="shared" si="1"/>
        <v>0</v>
      </c>
      <c r="N18" s="31">
        <f t="shared" si="2"/>
        <v>0</v>
      </c>
      <c r="O18">
        <f t="shared" si="3"/>
        <v>0</v>
      </c>
    </row>
    <row r="19" spans="1:15" x14ac:dyDescent="0.2">
      <c r="C19" s="29"/>
      <c r="D19" s="36"/>
      <c r="E19" s="36"/>
      <c r="F19" s="29"/>
      <c r="G19" s="37">
        <f>SUM($E$2:E19)-F19</f>
        <v>33173.270499999991</v>
      </c>
      <c r="H19" s="4">
        <f t="shared" si="0"/>
        <v>0</v>
      </c>
      <c r="K19" s="4"/>
      <c r="L19" s="31">
        <f>IF(C19&gt;0,SUM($C$2:C19)+SUM(D20:$D$26),0)</f>
        <v>0</v>
      </c>
      <c r="M19" s="29">
        <f t="shared" si="1"/>
        <v>0</v>
      </c>
      <c r="N19" s="31">
        <f t="shared" si="2"/>
        <v>0</v>
      </c>
      <c r="O19">
        <f t="shared" si="3"/>
        <v>0</v>
      </c>
    </row>
    <row r="20" spans="1:15" x14ac:dyDescent="0.2">
      <c r="C20" s="29"/>
      <c r="D20" s="36"/>
      <c r="E20" s="36"/>
      <c r="F20" s="29"/>
      <c r="G20" s="37">
        <f>SUM($E$2:E20)-F20</f>
        <v>33173.270499999991</v>
      </c>
      <c r="H20" s="4">
        <f t="shared" si="0"/>
        <v>0</v>
      </c>
      <c r="K20" s="4"/>
      <c r="L20" s="31">
        <f>IF(C20&gt;0,SUM($C$2:C20)+SUM(D21:$D$26),0)</f>
        <v>0</v>
      </c>
      <c r="M20" s="29">
        <f t="shared" ref="M20:M26" si="4">$D$28*A20^2</f>
        <v>0</v>
      </c>
      <c r="N20" s="31">
        <f t="shared" si="2"/>
        <v>0</v>
      </c>
      <c r="O20">
        <f t="shared" si="3"/>
        <v>0</v>
      </c>
    </row>
    <row r="21" spans="1:15" x14ac:dyDescent="0.2">
      <c r="A21" s="7"/>
      <c r="C21" s="29"/>
      <c r="D21" s="36"/>
      <c r="E21" s="36"/>
      <c r="F21" s="29"/>
      <c r="G21" s="37">
        <f>SUM($E$2:E21)-F21</f>
        <v>33173.270499999991</v>
      </c>
      <c r="H21" s="4">
        <f t="shared" si="0"/>
        <v>0</v>
      </c>
      <c r="K21" s="4"/>
      <c r="L21" s="31">
        <f>IF(C21&gt;0,SUM($C$2:C21)+SUM(D22:$D$26),0)</f>
        <v>0</v>
      </c>
      <c r="M21" s="29">
        <f t="shared" si="4"/>
        <v>0</v>
      </c>
      <c r="N21" s="31">
        <f t="shared" si="2"/>
        <v>0</v>
      </c>
      <c r="O21">
        <f t="shared" si="3"/>
        <v>0</v>
      </c>
    </row>
    <row r="22" spans="1:15" x14ac:dyDescent="0.2">
      <c r="C22" s="29"/>
      <c r="D22" s="36"/>
      <c r="E22" s="36"/>
      <c r="F22" s="30"/>
      <c r="G22" s="38">
        <f>SUM($E$2:E22)-F22</f>
        <v>33173.270499999991</v>
      </c>
      <c r="H22" s="4">
        <f t="shared" si="0"/>
        <v>0</v>
      </c>
      <c r="K22" s="4"/>
      <c r="L22" s="31">
        <f>IF(C22&gt;0,SUM($C$2:C22)+SUM(D23:$D$26),0)</f>
        <v>0</v>
      </c>
      <c r="M22" s="29">
        <f t="shared" si="4"/>
        <v>0</v>
      </c>
      <c r="N22" s="31">
        <f t="shared" si="2"/>
        <v>0</v>
      </c>
      <c r="O22">
        <f t="shared" si="3"/>
        <v>0</v>
      </c>
    </row>
    <row r="23" spans="1:15" x14ac:dyDescent="0.2">
      <c r="C23" s="29"/>
      <c r="D23" s="36"/>
      <c r="E23" s="36"/>
      <c r="F23" s="29"/>
      <c r="G23" s="37">
        <f>SUM($E$2:E23)-F23</f>
        <v>33173.270499999991</v>
      </c>
      <c r="H23" s="4">
        <f t="shared" si="0"/>
        <v>0</v>
      </c>
      <c r="K23" s="4"/>
      <c r="L23" s="31">
        <f>IF(C23&gt;0,SUM($C$2:C23)+SUM(D24:$D$26),0)</f>
        <v>0</v>
      </c>
      <c r="M23" s="29">
        <f t="shared" si="4"/>
        <v>0</v>
      </c>
      <c r="N23" s="31">
        <f t="shared" si="2"/>
        <v>0</v>
      </c>
      <c r="O23">
        <f t="shared" si="3"/>
        <v>0</v>
      </c>
    </row>
    <row r="24" spans="1:15" x14ac:dyDescent="0.2">
      <c r="C24" s="29"/>
      <c r="D24" s="36"/>
      <c r="E24" s="36"/>
      <c r="F24" s="29"/>
      <c r="G24" s="37">
        <f>SUM($E$2:E24)-F24</f>
        <v>33173.270499999991</v>
      </c>
      <c r="H24" s="4">
        <f t="shared" si="0"/>
        <v>0</v>
      </c>
      <c r="K24" s="4"/>
      <c r="L24" s="31">
        <f>IF(C24&gt;0,SUM($C$2:C24)+SUM(D25:$D$26),0)</f>
        <v>0</v>
      </c>
      <c r="M24" s="29">
        <f t="shared" si="4"/>
        <v>0</v>
      </c>
      <c r="N24" s="31">
        <f t="shared" si="2"/>
        <v>0</v>
      </c>
      <c r="O24">
        <f t="shared" si="3"/>
        <v>0</v>
      </c>
    </row>
    <row r="25" spans="1:15" x14ac:dyDescent="0.2">
      <c r="C25" s="29"/>
      <c r="D25" s="36"/>
      <c r="E25" s="36"/>
      <c r="F25" s="29"/>
      <c r="G25" s="37">
        <f>SUM($E$2:E25)-F25</f>
        <v>33173.270499999991</v>
      </c>
      <c r="H25" s="4">
        <f t="shared" si="0"/>
        <v>0</v>
      </c>
      <c r="K25" s="4"/>
      <c r="L25" s="31">
        <f>IF(C25&gt;0,SUM($C$2:C25)+SUM(D26:$D$26),0)</f>
        <v>0</v>
      </c>
      <c r="M25" s="29">
        <f t="shared" si="4"/>
        <v>0</v>
      </c>
      <c r="N25" s="31">
        <f t="shared" si="2"/>
        <v>0</v>
      </c>
      <c r="O25">
        <f t="shared" si="3"/>
        <v>0</v>
      </c>
    </row>
    <row r="26" spans="1:15" x14ac:dyDescent="0.2">
      <c r="C26" s="29"/>
      <c r="D26" s="36"/>
      <c r="E26" s="36"/>
      <c r="F26" s="29"/>
      <c r="G26" s="37">
        <f>SUM($E$2:E26)-F26</f>
        <v>33173.270499999991</v>
      </c>
      <c r="H26" s="4">
        <f t="shared" si="0"/>
        <v>0</v>
      </c>
      <c r="K26" s="4"/>
      <c r="L26" s="31">
        <f>IF(C26&gt;0,SUM($C$2:C26)+SUM(D$26:$D27),0)</f>
        <v>0</v>
      </c>
      <c r="M26" s="29">
        <f t="shared" si="4"/>
        <v>0</v>
      </c>
      <c r="N26" s="31">
        <f t="shared" si="2"/>
        <v>0</v>
      </c>
      <c r="O26">
        <f t="shared" si="3"/>
        <v>0</v>
      </c>
    </row>
    <row r="28" spans="1:15" ht="15" x14ac:dyDescent="0.25">
      <c r="A28" s="3" t="s">
        <v>7</v>
      </c>
      <c r="B28" s="3"/>
      <c r="C28" s="3" t="s">
        <v>8</v>
      </c>
      <c r="D28">
        <f>generate!B26</f>
        <v>65</v>
      </c>
      <c r="H28" s="25" t="s">
        <v>31</v>
      </c>
    </row>
    <row r="29" spans="1:15" ht="15" x14ac:dyDescent="0.25">
      <c r="A29" s="3" t="s">
        <v>6</v>
      </c>
      <c r="B29" s="3"/>
      <c r="C29" s="4">
        <f>SUM(C2:C26)</f>
        <v>66644.796699999992</v>
      </c>
      <c r="D29" s="4">
        <f>SUM(D2:D26)</f>
        <v>33471.526299999998</v>
      </c>
      <c r="F29" s="4">
        <f>-F26</f>
        <v>0</v>
      </c>
      <c r="H29" s="26">
        <f>SUM(C2:C12)+SUM(D13:D26)</f>
        <v>64758.213499999998</v>
      </c>
      <c r="N29" s="31">
        <f>MAX(N2:N26)</f>
        <v>57695.035099999994</v>
      </c>
    </row>
    <row r="30" spans="1:15" ht="15" x14ac:dyDescent="0.25">
      <c r="A30" s="3" t="s">
        <v>9</v>
      </c>
      <c r="B30" s="3"/>
      <c r="C30" s="5">
        <f>F29</f>
        <v>0</v>
      </c>
      <c r="D30">
        <v>0</v>
      </c>
      <c r="H30" s="26">
        <f>-F12</f>
        <v>-130</v>
      </c>
    </row>
    <row r="31" spans="1:15" ht="15" x14ac:dyDescent="0.25">
      <c r="A31" s="3" t="s">
        <v>10</v>
      </c>
      <c r="B31" s="3"/>
      <c r="C31" s="5">
        <f>C29+C30</f>
        <v>66644.796699999992</v>
      </c>
      <c r="D31" s="5">
        <f>D29+D30</f>
        <v>33471.526299999998</v>
      </c>
      <c r="H31" s="26">
        <f>H29+H30</f>
        <v>64628.213499999998</v>
      </c>
    </row>
    <row r="32" spans="1:15" x14ac:dyDescent="0.2">
      <c r="A32" s="35" t="s">
        <v>40</v>
      </c>
      <c r="C32">
        <f>SUM(O2:O26)</f>
        <v>9</v>
      </c>
    </row>
    <row r="33" spans="1:8" ht="15" x14ac:dyDescent="0.25">
      <c r="A33" t="s">
        <v>41</v>
      </c>
      <c r="C33" s="4">
        <v>1218.3530000000001</v>
      </c>
      <c r="D33" s="4">
        <v>904.92200000000003</v>
      </c>
      <c r="G33" s="27" t="s">
        <v>32</v>
      </c>
      <c r="H33" s="28">
        <f>H31-C31</f>
        <v>-2016.5831999999937</v>
      </c>
    </row>
  </sheetData>
  <autoFilter ref="B1:K1" xr:uid="{00000000-0009-0000-0000-000005000000}">
    <sortState xmlns:xlrd2="http://schemas.microsoft.com/office/spreadsheetml/2017/richdata2" ref="B2:K26">
      <sortCondition descending="1" ref="E1"/>
    </sortState>
  </autoFilter>
  <sortState xmlns:xlrd2="http://schemas.microsoft.com/office/spreadsheetml/2017/richdata2" ref="A2:H26">
    <sortCondition descending="1" ref="E1"/>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 Me Instructions</vt:lpstr>
      <vt:lpstr>generate</vt:lpstr>
      <vt:lpstr>gamesheet</vt:lpstr>
      <vt:lpstr>payoffs</vt:lpstr>
      <vt:lpstr>balance sheet</vt:lpstr>
      <vt:lpstr>find_best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Fenichel, Eli</dc:creator>
  <cp:lastModifiedBy>Administrator</cp:lastModifiedBy>
  <cp:lastPrinted>2019-07-20T19:02:22Z</cp:lastPrinted>
  <dcterms:created xsi:type="dcterms:W3CDTF">2016-10-03T17:59:49Z</dcterms:created>
  <dcterms:modified xsi:type="dcterms:W3CDTF">2019-07-29T13:13:50Z</dcterms:modified>
</cp:coreProperties>
</file>