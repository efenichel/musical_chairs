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 (Yale_FES)\Cap and Trade\"/>
    </mc:Choice>
  </mc:AlternateContent>
  <bookViews>
    <workbookView xWindow="0" yWindow="0" windowWidth="28800" windowHeight="12165" activeTab="1"/>
  </bookViews>
  <sheets>
    <sheet name="generate" sheetId="14" r:id="rId1"/>
    <sheet name="gamesheet" sheetId="34" r:id="rId2"/>
    <sheet name="payoffs" sheetId="1" r:id="rId3"/>
    <sheet name="balance sheet" sheetId="5" r:id="rId4"/>
    <sheet name="find_best" sheetId="18" r:id="rId5"/>
  </sheets>
  <definedNames>
    <definedName name="_xlnm._FilterDatabase" localSheetId="4" hidden="1">find_best!$B$1:$K$1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2" i="34" l="1"/>
  <c r="H33" i="34" l="1"/>
  <c r="B33" i="34"/>
  <c r="B2" i="34"/>
  <c r="A36" i="14"/>
  <c r="D28" i="18"/>
  <c r="H34" i="34" l="1"/>
  <c r="J5" i="34"/>
  <c r="J6" i="34"/>
  <c r="J7" i="34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3" i="18"/>
  <c r="L2" i="18"/>
  <c r="M20" i="18"/>
  <c r="M21" i="18"/>
  <c r="M22" i="18"/>
  <c r="M23" i="18"/>
  <c r="M24" i="18"/>
  <c r="M25" i="18"/>
  <c r="M26" i="18"/>
  <c r="G6" i="18"/>
  <c r="G15" i="18"/>
  <c r="H15" i="18"/>
  <c r="G2" i="18"/>
  <c r="H2" i="18"/>
  <c r="G19" i="18"/>
  <c r="H19" i="18"/>
  <c r="G20" i="18"/>
  <c r="H20" i="18"/>
  <c r="G11" i="18"/>
  <c r="H11" i="18"/>
  <c r="G12" i="18"/>
  <c r="H12" i="18"/>
  <c r="G23" i="18"/>
  <c r="H23" i="18"/>
  <c r="N24" i="18" l="1"/>
  <c r="N20" i="18"/>
  <c r="N22" i="18"/>
  <c r="N26" i="18"/>
  <c r="N25" i="18"/>
  <c r="N21" i="18"/>
  <c r="N23" i="18"/>
  <c r="D37" i="34"/>
  <c r="F34" i="34"/>
  <c r="E34" i="34"/>
  <c r="D34" i="34"/>
  <c r="C34" i="34"/>
  <c r="B34" i="34"/>
  <c r="H35" i="34"/>
  <c r="F32" i="34"/>
  <c r="E32" i="34"/>
  <c r="D32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B32" i="34"/>
  <c r="B37" i="34" s="1"/>
  <c r="C32" i="34"/>
  <c r="E37" i="34" l="1"/>
  <c r="F37" i="34"/>
  <c r="C37" i="34"/>
  <c r="H37" i="34"/>
  <c r="M19" i="18" l="1"/>
  <c r="N19" i="18" s="1"/>
  <c r="H14" i="18" l="1"/>
  <c r="H21" i="18"/>
  <c r="H18" i="18"/>
  <c r="H17" i="18"/>
  <c r="H8" i="18"/>
  <c r="H26" i="18"/>
  <c r="H22" i="18"/>
  <c r="H3" i="18"/>
  <c r="H13" i="18"/>
  <c r="H16" i="18"/>
  <c r="H4" i="18"/>
  <c r="H25" i="18"/>
  <c r="H9" i="18"/>
  <c r="H5" i="18"/>
  <c r="H7" i="18"/>
  <c r="H24" i="18"/>
  <c r="H10" i="18"/>
  <c r="H6" i="18"/>
  <c r="M3" i="18"/>
  <c r="N3" i="18" s="1"/>
  <c r="M2" i="18"/>
  <c r="N2" i="18" s="1"/>
  <c r="M6" i="18"/>
  <c r="N6" i="18" s="1"/>
  <c r="M18" i="18"/>
  <c r="N18" i="18" s="1"/>
  <c r="M17" i="18"/>
  <c r="N17" i="18" s="1"/>
  <c r="G17" i="18" l="1"/>
  <c r="G21" i="18"/>
  <c r="G4" i="18"/>
  <c r="G13" i="18"/>
  <c r="G24" i="18"/>
  <c r="M16" i="18"/>
  <c r="N16" i="18" s="1"/>
  <c r="G16" i="18"/>
  <c r="M15" i="18" l="1"/>
  <c r="N15" i="18" s="1"/>
  <c r="F29" i="18"/>
  <c r="C30" i="18" s="1"/>
  <c r="G18" i="18"/>
  <c r="M14" i="18"/>
  <c r="N14" i="18" s="1"/>
  <c r="M13" i="18"/>
  <c r="N13" i="18" s="1"/>
  <c r="G25" i="18"/>
  <c r="M12" i="18"/>
  <c r="N12" i="18" s="1"/>
  <c r="M11" i="18"/>
  <c r="N11" i="18" s="1"/>
  <c r="G22" i="18"/>
  <c r="M10" i="18"/>
  <c r="N10" i="18" s="1"/>
  <c r="G10" i="18"/>
  <c r="M9" i="18"/>
  <c r="N9" i="18" s="1"/>
  <c r="G14" i="18"/>
  <c r="M8" i="18"/>
  <c r="N8" i="18" s="1"/>
  <c r="M7" i="18"/>
  <c r="N7" i="18" s="1"/>
  <c r="G3" i="18"/>
  <c r="M5" i="18"/>
  <c r="N5" i="18" s="1"/>
  <c r="M4" i="18"/>
  <c r="N4" i="18" s="1"/>
  <c r="G9" i="18"/>
  <c r="C29" i="18"/>
  <c r="N29" i="18" l="1"/>
  <c r="O9" i="18" s="1"/>
  <c r="C31" i="18"/>
  <c r="H30" i="18"/>
  <c r="G26" i="18"/>
  <c r="G5" i="18"/>
  <c r="G7" i="18"/>
  <c r="H29" i="18"/>
  <c r="D29" i="18"/>
  <c r="D31" i="18" s="1"/>
  <c r="G8" i="18"/>
  <c r="B23" i="5"/>
  <c r="B48" i="5"/>
  <c r="B47" i="5"/>
  <c r="B3" i="5"/>
  <c r="B22" i="5"/>
  <c r="O10" i="18" l="1"/>
  <c r="O15" i="18"/>
  <c r="O11" i="18"/>
  <c r="O8" i="18"/>
  <c r="O12" i="18"/>
  <c r="O21" i="18"/>
  <c r="O20" i="18"/>
  <c r="O26" i="18"/>
  <c r="O24" i="18"/>
  <c r="O22" i="18"/>
  <c r="O25" i="18"/>
  <c r="O23" i="18"/>
  <c r="O19" i="18"/>
  <c r="O6" i="18"/>
  <c r="O17" i="18"/>
  <c r="O2" i="18"/>
  <c r="O3" i="18"/>
  <c r="O18" i="18"/>
  <c r="O16" i="18"/>
  <c r="O7" i="18"/>
  <c r="O13" i="18"/>
  <c r="O4" i="18"/>
  <c r="O14" i="18"/>
  <c r="O5" i="18"/>
  <c r="H31" i="18"/>
  <c r="H33" i="18" s="1"/>
  <c r="C32" i="18" l="1"/>
  <c r="A34" i="14" s="1"/>
</calcChain>
</file>

<file path=xl/sharedStrings.xml><?xml version="1.0" encoding="utf-8"?>
<sst xmlns="http://schemas.openxmlformats.org/spreadsheetml/2006/main" count="83" uniqueCount="73">
  <si>
    <t>Profit with carbon emmission (chair)</t>
  </si>
  <si>
    <t>Profit without carbon emmission (chair)</t>
  </si>
  <si>
    <t>Difference in profit</t>
  </si>
  <si>
    <t>with</t>
  </si>
  <si>
    <t>without</t>
  </si>
  <si>
    <t>difference</t>
  </si>
  <si>
    <t>cost per chair</t>
  </si>
  <si>
    <t>number of chairs</t>
  </si>
  <si>
    <t>total benefits</t>
  </si>
  <si>
    <t>cost function a*c^2</t>
  </si>
  <si>
    <t>a=</t>
  </si>
  <si>
    <t>total costs</t>
  </si>
  <si>
    <t>Net benefits</t>
  </si>
  <si>
    <t>Marginal net benefits</t>
  </si>
  <si>
    <t>with a chair</t>
  </si>
  <si>
    <t>without a chair</t>
  </si>
  <si>
    <t>Credit</t>
  </si>
  <si>
    <t>total</t>
  </si>
  <si>
    <t>net revenue</t>
  </si>
  <si>
    <t>Trade</t>
  </si>
  <si>
    <t>Debit</t>
  </si>
  <si>
    <t>Production value (cross out the position you don't hold in the end)</t>
  </si>
  <si>
    <t>Round 2</t>
  </si>
  <si>
    <t>Round 1</t>
  </si>
  <si>
    <t>with chair</t>
  </si>
  <si>
    <t>without chair</t>
  </si>
  <si>
    <t>total private benefits</t>
  </si>
  <si>
    <t>round 0</t>
  </si>
  <si>
    <t>social costs</t>
  </si>
  <si>
    <t>Social net benefits</t>
  </si>
  <si>
    <t>round 1</t>
  </si>
  <si>
    <t xml:space="preserve">round 2 </t>
  </si>
  <si>
    <t>round 3</t>
  </si>
  <si>
    <t>index</t>
  </si>
  <si>
    <t>chair ban</t>
  </si>
  <si>
    <t>chair cost is c * chair ^2</t>
  </si>
  <si>
    <t>c=</t>
  </si>
  <si>
    <t>optimal efficent market</t>
  </si>
  <si>
    <t>Social damages</t>
  </si>
  <si>
    <t>tax round</t>
  </si>
  <si>
    <t>tax</t>
  </si>
  <si>
    <t>Number of sheets</t>
  </si>
  <si>
    <t xml:space="preserve">A Demo of the game is avaliable at </t>
  </si>
  <si>
    <t> https://player.vimeo.com/video/157448238   </t>
  </si>
  <si>
    <t>use the password fes794fenichel</t>
  </si>
  <si>
    <t>This workbook can be used for the game set up and in class.  Some worksheets have been hidden.</t>
  </si>
  <si>
    <t>In cell A2 of this workbook you can adjust the number of balance sheets needed.</t>
  </si>
  <si>
    <t>Direct machine to the desired printer using Excel's standard method.</t>
  </si>
  <si>
    <t xml:space="preserve">same order.  This lets students play more than two rounds.  </t>
  </si>
  <si>
    <t>Maintaining the order is important to match up to the curves presented</t>
  </si>
  <si>
    <t>Created by Eli Fenichel</t>
  </si>
  <si>
    <t xml:space="preserve">Yale University </t>
  </si>
  <si>
    <t>© Eli P. Fenichel</t>
  </si>
  <si>
    <t>enter payouts</t>
  </si>
  <si>
    <t>enter pay tax = 1</t>
  </si>
  <si>
    <t>tax revenue</t>
  </si>
  <si>
    <t>marginal cost of a chair</t>
  </si>
  <si>
    <t>Version updated in 2018</t>
  </si>
  <si>
    <t>optimal number of chairs</t>
  </si>
  <si>
    <t>chair tax between =</t>
  </si>
  <si>
    <t>The game is setup for up to 25 players, but 9ish is probably the minimum.</t>
  </si>
  <si>
    <t>The cost function for a chair is quadratic of the form a*chair^2</t>
  </si>
  <si>
    <t>You can change the value of the parameter a in the set</t>
  </si>
  <si>
    <t xml:space="preserve">a = </t>
  </si>
  <si>
    <t>Setup the game gamesheet by pressing this button</t>
  </si>
  <si>
    <t>the optimal number of chairs will be</t>
  </si>
  <si>
    <t>The optimal tax is</t>
  </si>
  <si>
    <t xml:space="preserve">Now toggle to the sheet named "gamesheet" to be ready to play with your class. </t>
  </si>
  <si>
    <t xml:space="preserve">NOTE: the three worksheets payoffs, balance sheet and find_best help other things run, but can be ignored. </t>
  </si>
  <si>
    <t xml:space="preserve">Though Excel does not like when they are hidden. </t>
  </si>
  <si>
    <t xml:space="preserve">Then, click the button and X unique worksheets will print. The same balance sheets will always print in the </t>
  </si>
  <si>
    <t>The "payoffs" sheet lists the pre-drawn payoffs</t>
  </si>
  <si>
    <t>"balance sheet" is the template for printing balance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</si>
</sst>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&quot;$&quot;#,##0.00"/>
  </numFmts>
  <fonts count="10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0">
    <xf numFmtId="0" fontId="0" fillId="0" borderId="0" xfId="0"/>
    <xf numFmtId="164" fontId="3" fillId="0" borderId="0" xfId="0" applyNumberFormat="1" applyFont="1" applyAlignment="1">
      <alignment wrapText="1"/>
    </xf>
    <xf numFmtId="164" fontId="3" fillId="0" borderId="0" xfId="0" applyNumberFormat="1" applyFont="1"/>
    <xf numFmtId="0" fontId="2" fillId="0" borderId="0" xfId="0" applyFont="1"/>
    <xf numFmtId="44" fontId="0" fillId="0" borderId="0" xfId="3" applyFont="1"/>
    <xf numFmtId="44" fontId="0" fillId="0" borderId="0" xfId="0" applyNumberFormat="1"/>
    <xf numFmtId="0" fontId="0" fillId="4" borderId="0" xfId="0" applyFill="1"/>
    <xf numFmtId="0" fontId="0" fillId="0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7" xfId="0" applyFont="1" applyBorder="1"/>
    <xf numFmtId="0" fontId="4" fillId="0" borderId="2" xfId="0" applyFont="1" applyBorder="1"/>
    <xf numFmtId="0" fontId="2" fillId="0" borderId="7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0" fillId="0" borderId="0" xfId="0" applyBorder="1"/>
    <xf numFmtId="0" fontId="2" fillId="0" borderId="0" xfId="0" applyFont="1" applyBorder="1"/>
    <xf numFmtId="0" fontId="4" fillId="0" borderId="0" xfId="0" applyFont="1"/>
    <xf numFmtId="0" fontId="4" fillId="0" borderId="0" xfId="0" applyFont="1" applyBorder="1"/>
    <xf numFmtId="0" fontId="0" fillId="0" borderId="8" xfId="0" applyBorder="1"/>
    <xf numFmtId="0" fontId="0" fillId="0" borderId="9" xfId="0" applyBorder="1"/>
    <xf numFmtId="0" fontId="0" fillId="0" borderId="0" xfId="3" applyNumberFormat="1" applyFont="1"/>
    <xf numFmtId="0" fontId="7" fillId="3" borderId="0" xfId="2"/>
    <xf numFmtId="44" fontId="7" fillId="3" borderId="0" xfId="2" applyNumberFormat="1"/>
    <xf numFmtId="0" fontId="6" fillId="2" borderId="0" xfId="1"/>
    <xf numFmtId="44" fontId="6" fillId="2" borderId="0" xfId="1" applyNumberFormat="1"/>
    <xf numFmtId="165" fontId="0" fillId="0" borderId="0" xfId="3" applyNumberFormat="1" applyFont="1"/>
    <xf numFmtId="165" fontId="5" fillId="4" borderId="0" xfId="3" applyNumberFormat="1" applyFont="1" applyFill="1"/>
    <xf numFmtId="165" fontId="0" fillId="0" borderId="0" xfId="0" applyNumberFormat="1"/>
    <xf numFmtId="165" fontId="0" fillId="0" borderId="7" xfId="0" applyNumberFormat="1" applyBorder="1"/>
    <xf numFmtId="0" fontId="4" fillId="0" borderId="0" xfId="0" applyFont="1" applyFill="1" applyBorder="1"/>
    <xf numFmtId="0" fontId="8" fillId="0" borderId="0" xfId="4"/>
    <xf numFmtId="0" fontId="1" fillId="0" borderId="0" xfId="0" applyFont="1"/>
    <xf numFmtId="164" fontId="1" fillId="0" borderId="0" xfId="0" applyNumberFormat="1" applyFont="1"/>
    <xf numFmtId="166" fontId="0" fillId="0" borderId="0" xfId="3" applyNumberFormat="1" applyFont="1"/>
    <xf numFmtId="166" fontId="5" fillId="4" borderId="0" xfId="3" applyNumberFormat="1" applyFont="1" applyFill="1"/>
    <xf numFmtId="165" fontId="0" fillId="5" borderId="0" xfId="3" applyNumberFormat="1" applyFont="1" applyFill="1"/>
  </cellXfs>
  <cellStyles count="5">
    <cellStyle name="40% - Accent1" xfId="1" builtinId="31"/>
    <cellStyle name="Accent1" xfId="2" builtinId="29"/>
    <cellStyle name="Currency" xfId="3" builtinId="4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256259287149254"/>
          <c:y val="4.4607043622415264E-2"/>
          <c:w val="0.6272004234764772"/>
          <c:h val="0.747594223989328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find_best!$M$1</c:f>
              <c:strCache>
                <c:ptCount val="1"/>
                <c:pt idx="0">
                  <c:v>cost per chair</c:v>
                </c:pt>
              </c:strCache>
            </c:strRef>
          </c:tx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find_best!$L$2:$L$26</c:f>
              <c:numCache>
                <c:formatCode>_("$"* #,##0_);_("$"* \(#,##0\);_("$"* "-"??_);_(@_)</c:formatCode>
                <c:ptCount val="25"/>
                <c:pt idx="0">
                  <c:v>42620.270799999998</c:v>
                </c:pt>
                <c:pt idx="1">
                  <c:v>46914.135600000001</c:v>
                </c:pt>
                <c:pt idx="2">
                  <c:v>50457.9542</c:v>
                </c:pt>
                <c:pt idx="3">
                  <c:v>53245.489400000006</c:v>
                </c:pt>
                <c:pt idx="4">
                  <c:v>55995.650500000003</c:v>
                </c:pt>
                <c:pt idx="5">
                  <c:v>58218.799200000001</c:v>
                </c:pt>
                <c:pt idx="6">
                  <c:v>60371.0193</c:v>
                </c:pt>
                <c:pt idx="7">
                  <c:v>61741.682200000003</c:v>
                </c:pt>
                <c:pt idx="8">
                  <c:v>62960.035099999994</c:v>
                </c:pt>
                <c:pt idx="9">
                  <c:v>63864.9571</c:v>
                </c:pt>
                <c:pt idx="10">
                  <c:v>64758.213499999998</c:v>
                </c:pt>
                <c:pt idx="11">
                  <c:v>65540.954599999997</c:v>
                </c:pt>
                <c:pt idx="12">
                  <c:v>66172.808900000004</c:v>
                </c:pt>
                <c:pt idx="13">
                  <c:v>66637.004300000001</c:v>
                </c:pt>
                <c:pt idx="14">
                  <c:v>66644.796699999992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57-4B42-BEA3-345897C4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40096"/>
        <c:axId val="585935744"/>
      </c:scatterChart>
      <c:scatterChart>
        <c:scatterStyle val="smoothMarker"/>
        <c:varyColors val="0"/>
        <c:ser>
          <c:idx val="1"/>
          <c:order val="1"/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find_best!$M$2:$M$26</c:f>
              <c:numCache>
                <c:formatCode>_("$"* #,##0_);_("$"* \(#,##0\);_("$"* "-"??_);_(@_)</c:formatCode>
                <c:ptCount val="25"/>
                <c:pt idx="0">
                  <c:v>85</c:v>
                </c:pt>
                <c:pt idx="1">
                  <c:v>340</c:v>
                </c:pt>
                <c:pt idx="2">
                  <c:v>765</c:v>
                </c:pt>
                <c:pt idx="3">
                  <c:v>1360</c:v>
                </c:pt>
                <c:pt idx="4">
                  <c:v>2125</c:v>
                </c:pt>
                <c:pt idx="5">
                  <c:v>3060</c:v>
                </c:pt>
                <c:pt idx="6">
                  <c:v>4165</c:v>
                </c:pt>
                <c:pt idx="7">
                  <c:v>5440</c:v>
                </c:pt>
                <c:pt idx="8">
                  <c:v>6885</c:v>
                </c:pt>
                <c:pt idx="9">
                  <c:v>8500</c:v>
                </c:pt>
                <c:pt idx="10">
                  <c:v>10285</c:v>
                </c:pt>
                <c:pt idx="11">
                  <c:v>12240</c:v>
                </c:pt>
                <c:pt idx="12">
                  <c:v>14365</c:v>
                </c:pt>
                <c:pt idx="13">
                  <c:v>16660</c:v>
                </c:pt>
                <c:pt idx="14">
                  <c:v>19125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57-4B42-BEA3-345897C4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41728"/>
        <c:axId val="585930304"/>
      </c:scatterChart>
      <c:valAx>
        <c:axId val="58594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chairs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5744"/>
        <c:crosses val="autoZero"/>
        <c:crossBetween val="midCat"/>
      </c:valAx>
      <c:valAx>
        <c:axId val="585935744"/>
        <c:scaling>
          <c:orientation val="minMax"/>
          <c:min val="3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Cummulative Chair related profit</a:t>
                </a:r>
              </a:p>
            </c:rich>
          </c:tx>
          <c:layout>
            <c:manualLayout>
              <c:xMode val="edge"/>
              <c:yMode val="edge"/>
              <c:x val="3.2952440102741169E-2"/>
              <c:y val="9.0463692038495191E-2"/>
            </c:manualLayout>
          </c:layout>
          <c:overlay val="0"/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40096"/>
        <c:crosses val="autoZero"/>
        <c:crossBetween val="midCat"/>
        <c:majorUnit val="5000"/>
        <c:dispUnits>
          <c:builtInUnit val="thousands"/>
          <c:dispUnitsLbl>
            <c:layout>
              <c:manualLayout>
                <c:xMode val="edge"/>
                <c:yMode val="edge"/>
                <c:x val="6.6565914554798294E-2"/>
                <c:y val="0.28647973458763198"/>
              </c:manualLayout>
            </c:layout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</c:dispUnitsLbl>
        </c:dispUnits>
      </c:valAx>
      <c:valAx>
        <c:axId val="585941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5930304"/>
        <c:crosses val="autoZero"/>
        <c:crossBetween val="midCat"/>
      </c:valAx>
      <c:valAx>
        <c:axId val="585930304"/>
        <c:scaling>
          <c:orientation val="minMax"/>
        </c:scaling>
        <c:delete val="0"/>
        <c:axPos val="r"/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41728"/>
        <c:crosses val="max"/>
        <c:crossBetween val="midCat"/>
        <c:majorUnit val="5000"/>
        <c:dispUnits>
          <c:builtInUnit val="thousands"/>
        </c:dispUnits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find_best!$G$2:$G$26</c:f>
              <c:numCache>
                <c:formatCode>"$"#,##0.00</c:formatCode>
                <c:ptCount val="25"/>
                <c:pt idx="0">
                  <c:v>8468.7445000000007</c:v>
                </c:pt>
                <c:pt idx="1">
                  <c:v>12252.6093</c:v>
                </c:pt>
                <c:pt idx="2">
                  <c:v>16901.427899999999</c:v>
                </c:pt>
                <c:pt idx="3">
                  <c:v>19433.963099999997</c:v>
                </c:pt>
                <c:pt idx="4">
                  <c:v>21929.124199999998</c:v>
                </c:pt>
                <c:pt idx="5">
                  <c:v>23897.2729</c:v>
                </c:pt>
                <c:pt idx="6">
                  <c:v>26389.492999999999</c:v>
                </c:pt>
                <c:pt idx="7">
                  <c:v>26995.155999999999</c:v>
                </c:pt>
                <c:pt idx="8">
                  <c:v>28383.508999999998</c:v>
                </c:pt>
                <c:pt idx="9">
                  <c:v>29373.430999999997</c:v>
                </c:pt>
                <c:pt idx="10">
                  <c:v>31116.687399999995</c:v>
                </c:pt>
                <c:pt idx="11">
                  <c:v>31814.428499999995</c:v>
                </c:pt>
                <c:pt idx="12">
                  <c:v>31766.282799999994</c:v>
                </c:pt>
                <c:pt idx="13">
                  <c:v>32400.478099999993</c:v>
                </c:pt>
                <c:pt idx="14">
                  <c:v>32748.270499999991</c:v>
                </c:pt>
                <c:pt idx="15">
                  <c:v>33173.270499999991</c:v>
                </c:pt>
                <c:pt idx="16">
                  <c:v>33173.270499999991</c:v>
                </c:pt>
                <c:pt idx="17">
                  <c:v>33173.270499999991</c:v>
                </c:pt>
                <c:pt idx="18">
                  <c:v>33173.270499999991</c:v>
                </c:pt>
                <c:pt idx="19">
                  <c:v>33173.270499999991</c:v>
                </c:pt>
                <c:pt idx="20">
                  <c:v>33173.270499999991</c:v>
                </c:pt>
                <c:pt idx="21">
                  <c:v>33173.270499999991</c:v>
                </c:pt>
                <c:pt idx="22">
                  <c:v>33173.270499999991</c:v>
                </c:pt>
                <c:pt idx="23">
                  <c:v>33173.270499999991</c:v>
                </c:pt>
                <c:pt idx="24">
                  <c:v>33173.270499999991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42-47A9-A0A2-43DB5F6F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38464"/>
        <c:axId val="585937920"/>
      </c:scatterChart>
      <c:valAx>
        <c:axId val="5859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Number of chairs allowed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7920"/>
        <c:crosses val="autoZero"/>
        <c:crossBetween val="midCat"/>
      </c:valAx>
      <c:valAx>
        <c:axId val="585937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Net benefits from per chair allowed</a:t>
                </a:r>
              </a:p>
            </c:rich>
          </c:tx>
          <c:overlay val="0"/>
        </c:title>
        <c:numFmt formatCode="&quot;$&quot;#,##0.0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find_best!$M$1</c:f>
              <c:strCache>
                <c:ptCount val="1"/>
                <c:pt idx="0">
                  <c:v>cost per chair</c:v>
                </c:pt>
              </c:strCache>
            </c:strRef>
          </c:tx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find_best!$M$2:$M$26</c:f>
              <c:numCache>
                <c:formatCode>_("$"* #,##0_);_("$"* \(#,##0\);_("$"* "-"??_);_(@_)</c:formatCode>
                <c:ptCount val="25"/>
                <c:pt idx="0">
                  <c:v>85</c:v>
                </c:pt>
                <c:pt idx="1">
                  <c:v>340</c:v>
                </c:pt>
                <c:pt idx="2">
                  <c:v>765</c:v>
                </c:pt>
                <c:pt idx="3">
                  <c:v>1360</c:v>
                </c:pt>
                <c:pt idx="4">
                  <c:v>2125</c:v>
                </c:pt>
                <c:pt idx="5">
                  <c:v>3060</c:v>
                </c:pt>
                <c:pt idx="6">
                  <c:v>4165</c:v>
                </c:pt>
                <c:pt idx="7">
                  <c:v>5440</c:v>
                </c:pt>
                <c:pt idx="8">
                  <c:v>6885</c:v>
                </c:pt>
                <c:pt idx="9">
                  <c:v>8500</c:v>
                </c:pt>
                <c:pt idx="10">
                  <c:v>10285</c:v>
                </c:pt>
                <c:pt idx="11">
                  <c:v>12240</c:v>
                </c:pt>
                <c:pt idx="12">
                  <c:v>14365</c:v>
                </c:pt>
                <c:pt idx="13">
                  <c:v>16660</c:v>
                </c:pt>
                <c:pt idx="14">
                  <c:v>19125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BF-4AB8-88C6-B4570E102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31936"/>
        <c:axId val="585933024"/>
      </c:scatterChart>
      <c:valAx>
        <c:axId val="58593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chairs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3024"/>
        <c:crosses val="autoZero"/>
        <c:crossBetween val="midCat"/>
      </c:valAx>
      <c:valAx>
        <c:axId val="585933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Social cost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1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find_best!$M$1</c:f>
              <c:strCache>
                <c:ptCount val="1"/>
                <c:pt idx="0">
                  <c:v>cost per chair</c:v>
                </c:pt>
              </c:strCache>
            </c:strRef>
          </c:tx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find_best!$E$2:$E$26</c:f>
              <c:numCache>
                <c:formatCode>"$"#,##0</c:formatCode>
                <c:ptCount val="25"/>
                <c:pt idx="0">
                  <c:v>9148.7445000000007</c:v>
                </c:pt>
                <c:pt idx="1">
                  <c:v>4293.8648000000003</c:v>
                </c:pt>
                <c:pt idx="2">
                  <c:v>3543.8186000000001</c:v>
                </c:pt>
                <c:pt idx="3">
                  <c:v>2787.5351999999998</c:v>
                </c:pt>
                <c:pt idx="4">
                  <c:v>2750.1610999999998</c:v>
                </c:pt>
                <c:pt idx="5">
                  <c:v>2223.1487000000002</c:v>
                </c:pt>
                <c:pt idx="6">
                  <c:v>2152.2201</c:v>
                </c:pt>
                <c:pt idx="7">
                  <c:v>1370.663</c:v>
                </c:pt>
                <c:pt idx="8">
                  <c:v>1218.3530000000001</c:v>
                </c:pt>
                <c:pt idx="9">
                  <c:v>904.92200000000003</c:v>
                </c:pt>
                <c:pt idx="10">
                  <c:v>893.25639999999999</c:v>
                </c:pt>
                <c:pt idx="11">
                  <c:v>782.74109999999996</c:v>
                </c:pt>
                <c:pt idx="12">
                  <c:v>631.85429999999997</c:v>
                </c:pt>
                <c:pt idx="13">
                  <c:v>464.19529999999997</c:v>
                </c:pt>
                <c:pt idx="14">
                  <c:v>7.7923999999999998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93-448D-8DA6-D139C6163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34112"/>
        <c:axId val="585934656"/>
      </c:scatterChart>
      <c:valAx>
        <c:axId val="58593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chairs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4656"/>
        <c:crosses val="autoZero"/>
        <c:crossBetween val="midCat"/>
      </c:valAx>
      <c:valAx>
        <c:axId val="585934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Chair related profit</a:t>
                </a:r>
              </a:p>
            </c:rich>
          </c:tx>
          <c:overlay val="0"/>
        </c:title>
        <c:numFmt formatCode="&quot;$&quot;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4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256259287149254"/>
          <c:y val="4.4607043622415264E-2"/>
          <c:w val="0.6272004234764772"/>
          <c:h val="0.7475942239893280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find_best!$M$1</c:f>
              <c:strCache>
                <c:ptCount val="1"/>
                <c:pt idx="0">
                  <c:v>cost per chair</c:v>
                </c:pt>
              </c:strCache>
            </c:strRef>
          </c:tx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find_best!$L$2:$L$26</c:f>
              <c:numCache>
                <c:formatCode>_("$"* #,##0_);_("$"* \(#,##0\);_("$"* "-"??_);_(@_)</c:formatCode>
                <c:ptCount val="25"/>
                <c:pt idx="0">
                  <c:v>42620.270799999998</c:v>
                </c:pt>
                <c:pt idx="1">
                  <c:v>46914.135600000001</c:v>
                </c:pt>
                <c:pt idx="2">
                  <c:v>50457.9542</c:v>
                </c:pt>
                <c:pt idx="3">
                  <c:v>53245.489400000006</c:v>
                </c:pt>
                <c:pt idx="4">
                  <c:v>55995.650500000003</c:v>
                </c:pt>
                <c:pt idx="5">
                  <c:v>58218.799200000001</c:v>
                </c:pt>
                <c:pt idx="6">
                  <c:v>60371.0193</c:v>
                </c:pt>
                <c:pt idx="7">
                  <c:v>61741.682200000003</c:v>
                </c:pt>
                <c:pt idx="8">
                  <c:v>62960.035099999994</c:v>
                </c:pt>
                <c:pt idx="9">
                  <c:v>63864.9571</c:v>
                </c:pt>
                <c:pt idx="10">
                  <c:v>64758.213499999998</c:v>
                </c:pt>
                <c:pt idx="11">
                  <c:v>65540.954599999997</c:v>
                </c:pt>
                <c:pt idx="12">
                  <c:v>66172.808900000004</c:v>
                </c:pt>
                <c:pt idx="13">
                  <c:v>66637.004300000001</c:v>
                </c:pt>
                <c:pt idx="14">
                  <c:v>66644.796699999992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CF-489C-91F5-70DD369FF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40096"/>
        <c:axId val="585935744"/>
      </c:scatterChart>
      <c:scatterChart>
        <c:scatterStyle val="smoothMarker"/>
        <c:varyColors val="0"/>
        <c:ser>
          <c:idx val="1"/>
          <c:order val="1"/>
          <c:xVal>
            <c:numRef>
              <c:f>find_best!$A$2:$A$26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find_best!$M$2:$M$26</c:f>
              <c:numCache>
                <c:formatCode>_("$"* #,##0_);_("$"* \(#,##0\);_("$"* "-"??_);_(@_)</c:formatCode>
                <c:ptCount val="25"/>
                <c:pt idx="0">
                  <c:v>85</c:v>
                </c:pt>
                <c:pt idx="1">
                  <c:v>340</c:v>
                </c:pt>
                <c:pt idx="2">
                  <c:v>765</c:v>
                </c:pt>
                <c:pt idx="3">
                  <c:v>1360</c:v>
                </c:pt>
                <c:pt idx="4">
                  <c:v>2125</c:v>
                </c:pt>
                <c:pt idx="5">
                  <c:v>3060</c:v>
                </c:pt>
                <c:pt idx="6">
                  <c:v>4165</c:v>
                </c:pt>
                <c:pt idx="7">
                  <c:v>5440</c:v>
                </c:pt>
                <c:pt idx="8">
                  <c:v>6885</c:v>
                </c:pt>
                <c:pt idx="9">
                  <c:v>8500</c:v>
                </c:pt>
                <c:pt idx="10">
                  <c:v>10285</c:v>
                </c:pt>
                <c:pt idx="11">
                  <c:v>12240</c:v>
                </c:pt>
                <c:pt idx="12">
                  <c:v>14365</c:v>
                </c:pt>
                <c:pt idx="13">
                  <c:v>16660</c:v>
                </c:pt>
                <c:pt idx="14">
                  <c:v>19125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CF-489C-91F5-70DD369FF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41728"/>
        <c:axId val="585930304"/>
      </c:scatterChart>
      <c:valAx>
        <c:axId val="58594009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chairs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35744"/>
        <c:crosses val="autoZero"/>
        <c:crossBetween val="midCat"/>
      </c:valAx>
      <c:valAx>
        <c:axId val="585935744"/>
        <c:scaling>
          <c:orientation val="minMax"/>
          <c:min val="3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Cummulative Chair related profit</a:t>
                </a:r>
              </a:p>
            </c:rich>
          </c:tx>
          <c:layout>
            <c:manualLayout>
              <c:xMode val="edge"/>
              <c:yMode val="edge"/>
              <c:x val="3.2952440102741169E-2"/>
              <c:y val="9.0463692038495191E-2"/>
            </c:manualLayout>
          </c:layout>
          <c:overlay val="0"/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40096"/>
        <c:crosses val="autoZero"/>
        <c:crossBetween val="midCat"/>
        <c:majorUnit val="5000"/>
        <c:dispUnits>
          <c:builtInUnit val="thousands"/>
          <c:dispUnitsLbl>
            <c:layout>
              <c:manualLayout>
                <c:xMode val="edge"/>
                <c:yMode val="edge"/>
                <c:x val="6.6565914554798294E-2"/>
                <c:y val="0.28647973458763198"/>
              </c:manualLayout>
            </c:layout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</c:dispUnitsLbl>
        </c:dispUnits>
      </c:valAx>
      <c:valAx>
        <c:axId val="585941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5930304"/>
        <c:crosses val="autoZero"/>
        <c:crossBetween val="midCat"/>
      </c:valAx>
      <c:valAx>
        <c:axId val="585930304"/>
        <c:scaling>
          <c:orientation val="minMax"/>
        </c:scaling>
        <c:delete val="0"/>
        <c:axPos val="r"/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85941728"/>
        <c:crosses val="max"/>
        <c:crossBetween val="midCat"/>
        <c:majorUnit val="5000"/>
        <c:dispUnits>
          <c:builtInUnit val="thousands"/>
        </c:dispUnits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38100</xdr:rowOff>
        </xdr:from>
        <xdr:to>
          <xdr:col>5</xdr:col>
          <xdr:colOff>66675</xdr:colOff>
          <xdr:row>7</xdr:row>
          <xdr:rowOff>19050</xdr:rowOff>
        </xdr:to>
        <xdr:sp macro="" textlink="">
          <xdr:nvSpPr>
            <xdr:cNvPr id="599041" name="CommandButton1" hidden="1">
              <a:extLst>
                <a:ext uri="{63B3BB69-23CF-44E3-9099-C40C66FF867C}">
                  <a14:compatExt spid="_x0000_s599041"/>
                </a:ext>
                <a:ext uri="{FF2B5EF4-FFF2-40B4-BE49-F238E27FC236}">
                  <a16:creationId xmlns:a16="http://schemas.microsoft.com/office/drawing/2014/main" id="{00000000-0008-0000-0000-0000012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28</xdr:row>
          <xdr:rowOff>38100</xdr:rowOff>
        </xdr:from>
        <xdr:to>
          <xdr:col>4</xdr:col>
          <xdr:colOff>57150</xdr:colOff>
          <xdr:row>31</xdr:row>
          <xdr:rowOff>142875</xdr:rowOff>
        </xdr:to>
        <xdr:sp macro="" textlink="">
          <xdr:nvSpPr>
            <xdr:cNvPr id="599042" name="Button 2" hidden="1">
              <a:extLst>
                <a:ext uri="{63B3BB69-23CF-44E3-9099-C40C66FF867C}">
                  <a14:compatExt spid="_x0000_s599042"/>
                </a:ext>
                <a:ext uri="{FF2B5EF4-FFF2-40B4-BE49-F238E27FC236}">
                  <a16:creationId xmlns:a16="http://schemas.microsoft.com/office/drawing/2014/main" id="{00000000-0008-0000-0000-0000022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2</xdr:row>
      <xdr:rowOff>104775</xdr:rowOff>
    </xdr:from>
    <xdr:to>
      <xdr:col>21</xdr:col>
      <xdr:colOff>428625</xdr:colOff>
      <xdr:row>29</xdr:row>
      <xdr:rowOff>66675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0.91439</cdr:x>
      <cdr:y>0.06668</cdr:y>
    </cdr:from>
    <cdr:to>
      <cdr:x>0.98042</cdr:x>
      <cdr:y>0.78127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4348165" y="1038224"/>
          <a:ext cx="20478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/>
            <a:t>Social</a:t>
          </a:r>
          <a:r>
            <a:rPr lang="en-US" sz="1100" b="1" baseline="0"/>
            <a:t> cost chairs, thousands</a:t>
          </a:r>
          <a:endParaRPr lang="en-US" sz="1100" b="1"/>
        </a:p>
      </cdr:txBody>
    </cdr:sp>
  </cdr:relSizeAnchor>
  <cdr:relSizeAnchor xmlns:cdr="http://schemas.openxmlformats.org/drawingml/2006/chartDrawing">
    <cdr:from>
      <cdr:x>0.91439</cdr:x>
      <cdr:y>0.06668</cdr:y>
    </cdr:from>
    <cdr:to>
      <cdr:x>0.98042</cdr:x>
      <cdr:y>0.78127</cdr:y>
    </cdr:to>
    <cdr:sp macro="" textlink="">
      <cdr:nvSpPr>
        <cdr:cNvPr id="7" name="TextBox 1"/>
        <cdr:cNvSpPr txBox="1"/>
      </cdr:nvSpPr>
      <cdr:spPr>
        <a:xfrm xmlns:a="http://schemas.openxmlformats.org/drawingml/2006/main" rot="16200000">
          <a:off x="4348165" y="1038224"/>
          <a:ext cx="20478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/>
            <a:t>Social</a:t>
          </a:r>
          <a:r>
            <a:rPr lang="en-US" sz="1100" b="1" baseline="0"/>
            <a:t> cost chairs, thousands</a:t>
          </a:r>
          <a:endParaRPr lang="en-US" sz="11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34</xdr:row>
      <xdr:rowOff>133350</xdr:rowOff>
    </xdr:from>
    <xdr:to>
      <xdr:col>6</xdr:col>
      <xdr:colOff>419100</xdr:colOff>
      <xdr:row>51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85725</xdr:colOff>
      <xdr:row>0</xdr:row>
      <xdr:rowOff>0</xdr:rowOff>
    </xdr:from>
    <xdr:to>
      <xdr:col>22</xdr:col>
      <xdr:colOff>390525</xdr:colOff>
      <xdr:row>16</xdr:row>
      <xdr:rowOff>152400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17</xdr:row>
      <xdr:rowOff>57150</xdr:rowOff>
    </xdr:from>
    <xdr:to>
      <xdr:col>22</xdr:col>
      <xdr:colOff>323850</xdr:colOff>
      <xdr:row>38</xdr:row>
      <xdr:rowOff>47625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474345</xdr:colOff>
      <xdr:row>34</xdr:row>
      <xdr:rowOff>123825</xdr:rowOff>
    </xdr:from>
    <xdr:to>
      <xdr:col>12</xdr:col>
      <xdr:colOff>316230</xdr:colOff>
      <xdr:row>52</xdr:row>
      <xdr:rowOff>95250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123825</xdr:colOff>
      <xdr:row>23</xdr:row>
      <xdr:rowOff>123825</xdr:rowOff>
    </xdr:from>
    <xdr:to>
      <xdr:col>20</xdr:col>
      <xdr:colOff>409575</xdr:colOff>
      <xdr:row>36</xdr:row>
      <xdr:rowOff>66675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2544425" y="3848100"/>
          <a:ext cx="3333750" cy="2190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this sheet to find the</a:t>
          </a:r>
          <a:r>
            <a:rPr lang="en-US" sz="1100" baseline="0"/>
            <a:t> optimum. Take the payoff cards by index, cut and past in the appropriate columns, sort by difference.  </a:t>
          </a:r>
          <a:endParaRPr lang="en-US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0.91439</cdr:x>
      <cdr:y>0.06668</cdr:y>
    </cdr:from>
    <cdr:to>
      <cdr:x>0.98042</cdr:x>
      <cdr:y>0.78127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4348165" y="1038224"/>
          <a:ext cx="20478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/>
            <a:t>Social</a:t>
          </a:r>
          <a:r>
            <a:rPr lang="en-US" sz="1100" b="1" baseline="0"/>
            <a:t> cost chairs, thousands</a:t>
          </a:r>
          <a:endParaRPr lang="en-US" sz="1100" b="1"/>
        </a:p>
      </cdr:txBody>
    </cdr:sp>
  </cdr:relSizeAnchor>
  <cdr:relSizeAnchor xmlns:cdr="http://schemas.openxmlformats.org/drawingml/2006/chartDrawing">
    <cdr:from>
      <cdr:x>0.91439</cdr:x>
      <cdr:y>0.06668</cdr:y>
    </cdr:from>
    <cdr:to>
      <cdr:x>0.98042</cdr:x>
      <cdr:y>0.78127</cdr:y>
    </cdr:to>
    <cdr:sp macro="" textlink="">
      <cdr:nvSpPr>
        <cdr:cNvPr id="7" name="TextBox 1"/>
        <cdr:cNvSpPr txBox="1"/>
      </cdr:nvSpPr>
      <cdr:spPr>
        <a:xfrm xmlns:a="http://schemas.openxmlformats.org/drawingml/2006/main" rot="16200000">
          <a:off x="4348165" y="1038224"/>
          <a:ext cx="20478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/>
            <a:t>Social</a:t>
          </a:r>
          <a:r>
            <a:rPr lang="en-US" sz="1100" b="1" baseline="0"/>
            <a:t> cost chairs, thousands</a:t>
          </a:r>
          <a:endParaRPr lang="en-US" sz="11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urldefense.proofpoint.com/v2/url?u=https-3A__player.vimeo.com_video_157448238&amp;d=CwMD-g&amp;c=-dg2m7zWuuDZ0MUcV7Sdqw&amp;r=IFDGeowvkNDVVigJROv70u5wAVF0F6a1bd09qnO1lNg&amp;m=m_pjwIGVg91b9zFO8nV2p6RcQtIjkj88on3-ckzUbiY&amp;s=s6rpO0qax1o9J5lTAa_P-66X6X4fqVvLzFltBMFUl5c&amp;e=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O41"/>
  <sheetViews>
    <sheetView workbookViewId="0">
      <selection activeCell="A22" sqref="A22"/>
    </sheetView>
  </sheetViews>
  <sheetFormatPr defaultRowHeight="12.75" x14ac:dyDescent="0.2"/>
  <cols>
    <col min="1" max="1" width="12" customWidth="1"/>
  </cols>
  <sheetData>
    <row r="1" spans="1:8" x14ac:dyDescent="0.2">
      <c r="A1" s="3" t="s">
        <v>41</v>
      </c>
      <c r="H1" t="s">
        <v>50</v>
      </c>
    </row>
    <row r="2" spans="1:8" x14ac:dyDescent="0.2">
      <c r="A2">
        <v>15</v>
      </c>
      <c r="H2" s="35" t="s">
        <v>57</v>
      </c>
    </row>
    <row r="3" spans="1:8" x14ac:dyDescent="0.2">
      <c r="H3" t="s">
        <v>51</v>
      </c>
    </row>
    <row r="4" spans="1:8" x14ac:dyDescent="0.2">
      <c r="H4" t="s">
        <v>52</v>
      </c>
    </row>
    <row r="8" spans="1:8" x14ac:dyDescent="0.2">
      <c r="A8" s="3" t="s">
        <v>42</v>
      </c>
    </row>
    <row r="9" spans="1:8" x14ac:dyDescent="0.2">
      <c r="A9" s="34" t="s">
        <v>43</v>
      </c>
    </row>
    <row r="10" spans="1:8" x14ac:dyDescent="0.2">
      <c r="A10" s="3" t="s">
        <v>44</v>
      </c>
    </row>
    <row r="12" spans="1:8" x14ac:dyDescent="0.2">
      <c r="A12" s="3" t="s">
        <v>45</v>
      </c>
    </row>
    <row r="13" spans="1:8" x14ac:dyDescent="0.2">
      <c r="A13" s="3" t="s">
        <v>46</v>
      </c>
    </row>
    <row r="14" spans="1:8" x14ac:dyDescent="0.2">
      <c r="A14" s="3" t="s">
        <v>47</v>
      </c>
    </row>
    <row r="15" spans="1:8" x14ac:dyDescent="0.2">
      <c r="A15" s="35" t="s">
        <v>70</v>
      </c>
    </row>
    <row r="16" spans="1:8" x14ac:dyDescent="0.2">
      <c r="A16" s="3" t="s">
        <v>48</v>
      </c>
    </row>
    <row r="17" spans="1:15" x14ac:dyDescent="0.2">
      <c r="A17" s="3" t="s">
        <v>49</v>
      </c>
    </row>
    <row r="19" spans="1:15" x14ac:dyDescent="0.2">
      <c r="A19" s="35" t="s">
        <v>71</v>
      </c>
      <c r="O19" s="3"/>
    </row>
    <row r="20" spans="1:15" x14ac:dyDescent="0.2">
      <c r="A20" s="35" t="s">
        <v>72</v>
      </c>
      <c r="O20" s="3"/>
    </row>
    <row r="21" spans="1:15" x14ac:dyDescent="0.2">
      <c r="A21" s="3"/>
      <c r="O21" s="35"/>
    </row>
    <row r="22" spans="1:15" x14ac:dyDescent="0.2">
      <c r="A22" s="35" t="s">
        <v>60</v>
      </c>
      <c r="O22" s="3"/>
    </row>
    <row r="23" spans="1:15" x14ac:dyDescent="0.2">
      <c r="A23" s="35" t="s">
        <v>61</v>
      </c>
      <c r="O23" s="3"/>
    </row>
    <row r="24" spans="1:15" x14ac:dyDescent="0.2">
      <c r="A24" s="35" t="s">
        <v>62</v>
      </c>
      <c r="O24" s="3"/>
    </row>
    <row r="26" spans="1:15" x14ac:dyDescent="0.2">
      <c r="A26" t="s">
        <v>63</v>
      </c>
      <c r="B26" s="29">
        <v>85</v>
      </c>
      <c r="O26" s="35"/>
    </row>
    <row r="28" spans="1:15" x14ac:dyDescent="0.2">
      <c r="A28" t="s">
        <v>64</v>
      </c>
    </row>
    <row r="33" spans="1:1" x14ac:dyDescent="0.2">
      <c r="A33" t="s">
        <v>65</v>
      </c>
    </row>
    <row r="34" spans="1:1" x14ac:dyDescent="0.2">
      <c r="A34">
        <f>find_best!C32</f>
        <v>8</v>
      </c>
    </row>
    <row r="35" spans="1:1" x14ac:dyDescent="0.2">
      <c r="A35" t="s">
        <v>66</v>
      </c>
    </row>
    <row r="36" spans="1:1" x14ac:dyDescent="0.2">
      <c r="A36" s="31">
        <f>find_best!D33+1</f>
        <v>1219.3530000000001</v>
      </c>
    </row>
    <row r="38" spans="1:1" x14ac:dyDescent="0.2">
      <c r="A38" t="s">
        <v>67</v>
      </c>
    </row>
    <row r="40" spans="1:1" x14ac:dyDescent="0.2">
      <c r="A40" s="35" t="s">
        <v>68</v>
      </c>
    </row>
    <row r="41" spans="1:1" x14ac:dyDescent="0.2">
      <c r="A41" s="35" t="s">
        <v>69</v>
      </c>
    </row>
  </sheetData>
  <hyperlinks>
    <hyperlink ref="A9" r:id="rId1" display="https://urldefense.proofpoint.com/v2/url?u=https-3A__player.vimeo.com_video_157448238&amp;d=CwMD-g&amp;c=-dg2m7zWuuDZ0MUcV7Sdqw&amp;r=IFDGeowvkNDVVigJROv70u5wAVF0F6a1bd09qnO1lNg&amp;m=m_pjwIGVg91b9zFO8nV2p6RcQtIjkj88on3-ckzUbiY&amp;s=s6rpO0qax1o9J5lTAa_P-66X6X4fqVvLzFltBMFUl5c&amp;e="/>
  </hyperlinks>
  <pageMargins left="0.7" right="0.7" top="0.75" bottom="0.75" header="0.3" footer="0.3"/>
  <pageSetup orientation="portrait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599041" r:id="rId5" name="CommandButton1">
          <controlPr defaultSize="0" autoLine="0" r:id="rId6">
            <anchor moveWithCells="1">
              <from>
                <xdr:col>2</xdr:col>
                <xdr:colOff>0</xdr:colOff>
                <xdr:row>1</xdr:row>
                <xdr:rowOff>38100</xdr:rowOff>
              </from>
              <to>
                <xdr:col>5</xdr:col>
                <xdr:colOff>66675</xdr:colOff>
                <xdr:row>7</xdr:row>
                <xdr:rowOff>19050</xdr:rowOff>
              </to>
            </anchor>
          </controlPr>
        </control>
      </mc:Choice>
      <mc:Fallback>
        <control shapeId="599041" r:id="rId5" name="CommandButton1"/>
      </mc:Fallback>
    </mc:AlternateContent>
    <mc:AlternateContent xmlns:mc="http://schemas.openxmlformats.org/markup-compatibility/2006">
      <mc:Choice Requires="x14">
        <control shapeId="599042" r:id="rId7" name="Button 2">
          <controlPr defaultSize="0" print="0" autoFill="0" autoPict="0" macro="[0]!Button2_Click">
            <anchor moveWithCells="1" sizeWithCells="1">
              <from>
                <xdr:col>1</xdr:col>
                <xdr:colOff>409575</xdr:colOff>
                <xdr:row>28</xdr:row>
                <xdr:rowOff>38100</xdr:rowOff>
              </from>
              <to>
                <xdr:col>4</xdr:col>
                <xdr:colOff>57150</xdr:colOff>
                <xdr:row>31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J37"/>
  <sheetViews>
    <sheetView tabSelected="1" workbookViewId="0">
      <selection activeCell="H33" sqref="H33"/>
    </sheetView>
  </sheetViews>
  <sheetFormatPr defaultRowHeight="12.75" x14ac:dyDescent="0.2"/>
  <cols>
    <col min="1" max="1" width="18.85546875" customWidth="1"/>
    <col min="2" max="2" width="12.28515625" bestFit="1" customWidth="1"/>
    <col min="3" max="3" width="12.28515625" customWidth="1"/>
    <col min="4" max="4" width="11.28515625" bestFit="1" customWidth="1"/>
    <col min="5" max="5" width="11" customWidth="1"/>
    <col min="6" max="6" width="11.85546875" customWidth="1"/>
    <col min="7" max="7" width="2.42578125" customWidth="1"/>
    <col min="8" max="8" width="9.7109375" bestFit="1" customWidth="1"/>
  </cols>
  <sheetData>
    <row r="1" spans="1:10" x14ac:dyDescent="0.2">
      <c r="A1" s="3" t="s">
        <v>35</v>
      </c>
    </row>
    <row r="2" spans="1:10" x14ac:dyDescent="0.2">
      <c r="A2" s="3" t="s">
        <v>36</v>
      </c>
      <c r="B2">
        <f>generate!B26</f>
        <v>85</v>
      </c>
      <c r="H2" t="s">
        <v>39</v>
      </c>
      <c r="I2" s="3" t="s">
        <v>40</v>
      </c>
      <c r="J2">
        <v>0</v>
      </c>
    </row>
    <row r="3" spans="1:10" x14ac:dyDescent="0.2">
      <c r="B3" s="3" t="s">
        <v>27</v>
      </c>
      <c r="C3" s="3" t="s">
        <v>34</v>
      </c>
      <c r="D3" s="3" t="s">
        <v>30</v>
      </c>
      <c r="E3" s="3" t="s">
        <v>31</v>
      </c>
      <c r="F3" s="3" t="s">
        <v>32</v>
      </c>
      <c r="G3" s="3"/>
    </row>
    <row r="4" spans="1:10" x14ac:dyDescent="0.2">
      <c r="B4" s="4"/>
      <c r="C4" s="4"/>
      <c r="H4" s="35" t="s">
        <v>53</v>
      </c>
      <c r="I4" s="35" t="s">
        <v>54</v>
      </c>
    </row>
    <row r="5" spans="1:10" x14ac:dyDescent="0.2">
      <c r="A5">
        <v>1</v>
      </c>
      <c r="B5" s="39">
        <v>5630.3131000000003</v>
      </c>
      <c r="C5" s="39">
        <v>2086.4944999999998</v>
      </c>
      <c r="H5" s="31"/>
      <c r="I5" s="24">
        <v>1</v>
      </c>
      <c r="J5" t="str">
        <f>IF(I5=1,$I$2,0)</f>
        <v>tax</v>
      </c>
    </row>
    <row r="6" spans="1:10" x14ac:dyDescent="0.2">
      <c r="A6">
        <v>2</v>
      </c>
      <c r="B6" s="39">
        <v>5370.3885</v>
      </c>
      <c r="C6" s="39">
        <v>4477.1320999999998</v>
      </c>
      <c r="H6" s="31"/>
      <c r="I6" s="24">
        <v>1</v>
      </c>
      <c r="J6" t="str">
        <f>IF(I6=1,$I$2,0)</f>
        <v>tax</v>
      </c>
    </row>
    <row r="7" spans="1:10" x14ac:dyDescent="0.2">
      <c r="A7">
        <v>3</v>
      </c>
      <c r="B7" s="39">
        <v>5294.6602999999996</v>
      </c>
      <c r="C7" s="39">
        <v>4511.9192000000003</v>
      </c>
      <c r="H7" s="31"/>
      <c r="I7" s="24">
        <v>1</v>
      </c>
      <c r="J7" t="str">
        <f>IF(I7=1,$I$2,0)</f>
        <v>tax</v>
      </c>
    </row>
    <row r="8" spans="1:10" x14ac:dyDescent="0.2">
      <c r="A8">
        <v>4</v>
      </c>
      <c r="B8" s="39">
        <v>3868.8533000000002</v>
      </c>
      <c r="C8" s="39">
        <v>1081.3181</v>
      </c>
      <c r="H8" s="31"/>
      <c r="I8" s="24">
        <v>1</v>
      </c>
      <c r="J8" t="str">
        <f t="shared" ref="J8:J24" si="0">IF(I8=1,$I$2,0)</f>
        <v>tax</v>
      </c>
    </row>
    <row r="9" spans="1:10" x14ac:dyDescent="0.2">
      <c r="A9">
        <v>5</v>
      </c>
      <c r="B9" s="39">
        <v>13.0284</v>
      </c>
      <c r="C9" s="39">
        <v>5.2359999999999998</v>
      </c>
      <c r="H9" s="31"/>
      <c r="I9" s="24">
        <v>1</v>
      </c>
      <c r="J9" t="str">
        <f t="shared" si="0"/>
        <v>tax</v>
      </c>
    </row>
    <row r="10" spans="1:10" x14ac:dyDescent="0.2">
      <c r="A10">
        <v>6</v>
      </c>
      <c r="B10" s="39">
        <v>5020.7237999999998</v>
      </c>
      <c r="C10" s="39">
        <v>2868.5037000000002</v>
      </c>
      <c r="H10" s="31"/>
      <c r="I10" s="24">
        <v>1</v>
      </c>
      <c r="J10" t="str">
        <f t="shared" si="0"/>
        <v>tax</v>
      </c>
    </row>
    <row r="11" spans="1:10" x14ac:dyDescent="0.2">
      <c r="A11">
        <v>7</v>
      </c>
      <c r="B11" s="39">
        <v>5969.2768999999998</v>
      </c>
      <c r="C11" s="39">
        <v>3219.1158</v>
      </c>
      <c r="H11" s="31"/>
      <c r="I11" s="24">
        <v>1</v>
      </c>
      <c r="J11" t="str">
        <f t="shared" si="0"/>
        <v>tax</v>
      </c>
    </row>
    <row r="12" spans="1:10" x14ac:dyDescent="0.2">
      <c r="A12">
        <v>8</v>
      </c>
      <c r="B12" s="39">
        <v>9184.5889999999999</v>
      </c>
      <c r="C12" s="39">
        <v>35.844499999999996</v>
      </c>
      <c r="H12" s="31"/>
      <c r="I12" s="24">
        <v>1</v>
      </c>
      <c r="J12" t="str">
        <f t="shared" si="0"/>
        <v>tax</v>
      </c>
    </row>
    <row r="13" spans="1:10" x14ac:dyDescent="0.2">
      <c r="A13">
        <v>9</v>
      </c>
      <c r="B13" s="39">
        <v>2976.1282999999999</v>
      </c>
      <c r="C13" s="39">
        <v>2511.9328999999998</v>
      </c>
      <c r="H13" s="31"/>
      <c r="I13" s="24">
        <v>1</v>
      </c>
      <c r="J13" t="str">
        <f t="shared" si="0"/>
        <v>tax</v>
      </c>
    </row>
    <row r="14" spans="1:10" x14ac:dyDescent="0.2">
      <c r="A14">
        <v>10</v>
      </c>
      <c r="B14" s="39">
        <v>2325.3892000000001</v>
      </c>
      <c r="C14" s="39">
        <v>102.2405</v>
      </c>
      <c r="H14" s="31"/>
      <c r="I14" s="24">
        <v>1</v>
      </c>
      <c r="J14" t="str">
        <f t="shared" si="0"/>
        <v>tax</v>
      </c>
    </row>
    <row r="15" spans="1:10" x14ac:dyDescent="0.2">
      <c r="A15">
        <v>11</v>
      </c>
      <c r="B15" s="39">
        <v>2817.2530000000002</v>
      </c>
      <c r="C15" s="39">
        <v>2185.3987000000002</v>
      </c>
      <c r="H15" s="31"/>
      <c r="I15" s="24">
        <v>1</v>
      </c>
      <c r="J15" t="str">
        <f t="shared" si="0"/>
        <v>tax</v>
      </c>
    </row>
    <row r="16" spans="1:10" x14ac:dyDescent="0.2">
      <c r="A16">
        <v>12</v>
      </c>
      <c r="B16" s="39">
        <v>5003.1832000000004</v>
      </c>
      <c r="C16" s="39">
        <v>4098.2611999999999</v>
      </c>
      <c r="H16" s="31"/>
      <c r="I16" s="24">
        <v>1</v>
      </c>
      <c r="J16" t="str">
        <f t="shared" si="0"/>
        <v>tax</v>
      </c>
    </row>
    <row r="17" spans="1:10" x14ac:dyDescent="0.2">
      <c r="A17">
        <v>13</v>
      </c>
      <c r="B17" s="39">
        <v>1895.4483</v>
      </c>
      <c r="C17" s="39">
        <v>677.09540000000004</v>
      </c>
      <c r="H17" s="31"/>
      <c r="I17" s="24">
        <v>1</v>
      </c>
      <c r="J17" t="str">
        <f t="shared" si="0"/>
        <v>tax</v>
      </c>
    </row>
    <row r="18" spans="1:10" x14ac:dyDescent="0.2">
      <c r="A18">
        <v>14</v>
      </c>
      <c r="B18" s="39">
        <v>7370.3779999999997</v>
      </c>
      <c r="C18" s="39">
        <v>3076.5131999999999</v>
      </c>
      <c r="H18" s="31"/>
      <c r="I18" s="24">
        <v>1</v>
      </c>
      <c r="J18" t="str">
        <f t="shared" si="0"/>
        <v>tax</v>
      </c>
    </row>
    <row r="19" spans="1:10" x14ac:dyDescent="0.2">
      <c r="A19">
        <v>15</v>
      </c>
      <c r="B19" s="39">
        <v>3905.1833999999999</v>
      </c>
      <c r="C19" s="39">
        <v>2534.5205000000001</v>
      </c>
      <c r="H19" s="31"/>
      <c r="I19" s="24">
        <v>1</v>
      </c>
      <c r="J19" t="str">
        <f t="shared" si="0"/>
        <v>tax</v>
      </c>
    </row>
    <row r="20" spans="1:10" x14ac:dyDescent="0.2">
      <c r="B20" s="39"/>
      <c r="C20" s="39"/>
      <c r="H20" s="31"/>
      <c r="I20" s="24"/>
      <c r="J20">
        <f t="shared" si="0"/>
        <v>0</v>
      </c>
    </row>
    <row r="21" spans="1:10" x14ac:dyDescent="0.2">
      <c r="B21" s="39"/>
      <c r="C21" s="39"/>
      <c r="H21" s="31"/>
      <c r="I21" s="24"/>
      <c r="J21">
        <f t="shared" si="0"/>
        <v>0</v>
      </c>
    </row>
    <row r="22" spans="1:10" x14ac:dyDescent="0.2">
      <c r="B22" s="39"/>
      <c r="C22" s="39"/>
      <c r="H22" s="31"/>
      <c r="I22" s="24"/>
      <c r="J22">
        <f t="shared" si="0"/>
        <v>0</v>
      </c>
    </row>
    <row r="23" spans="1:10" x14ac:dyDescent="0.2">
      <c r="B23" s="39"/>
      <c r="C23" s="39"/>
      <c r="H23" s="31"/>
      <c r="I23" s="24"/>
      <c r="J23">
        <f t="shared" si="0"/>
        <v>0</v>
      </c>
    </row>
    <row r="24" spans="1:10" x14ac:dyDescent="0.2">
      <c r="B24" s="39"/>
      <c r="C24" s="39"/>
      <c r="I24" s="24"/>
      <c r="J24">
        <f t="shared" si="0"/>
        <v>0</v>
      </c>
    </row>
    <row r="25" spans="1:10" x14ac:dyDescent="0.2">
      <c r="B25" s="39"/>
      <c r="C25" s="39"/>
      <c r="I25" s="24"/>
      <c r="J25">
        <f>IF(I25=1,$I$2,0)</f>
        <v>0</v>
      </c>
    </row>
    <row r="26" spans="1:10" x14ac:dyDescent="0.2">
      <c r="B26" s="39"/>
      <c r="C26" s="39"/>
      <c r="I26" s="24"/>
      <c r="J26">
        <f>IF(I26=1,$I$2,0)</f>
        <v>0</v>
      </c>
    </row>
    <row r="27" spans="1:10" x14ac:dyDescent="0.2">
      <c r="B27" s="39"/>
      <c r="C27" s="39"/>
      <c r="I27" s="24"/>
      <c r="J27">
        <f>IF(I27=1,$I$2,0)</f>
        <v>0</v>
      </c>
    </row>
    <row r="28" spans="1:10" x14ac:dyDescent="0.2">
      <c r="B28" s="39"/>
      <c r="C28" s="39"/>
      <c r="I28" s="24"/>
      <c r="J28">
        <f>IF(I28=1,$I$2,0)</f>
        <v>0</v>
      </c>
    </row>
    <row r="29" spans="1:10" x14ac:dyDescent="0.2">
      <c r="B29" s="39"/>
      <c r="C29" s="39"/>
      <c r="I29" s="24"/>
      <c r="J29">
        <f>IF(I29=1,$I$2,0)</f>
        <v>0</v>
      </c>
    </row>
    <row r="32" spans="1:10" x14ac:dyDescent="0.2">
      <c r="A32" s="3" t="s">
        <v>26</v>
      </c>
      <c r="B32" s="29">
        <f>SUM(B5:B25)</f>
        <v>66644.796699999977</v>
      </c>
      <c r="C32" s="29">
        <f>SUM(C5:C25)</f>
        <v>33471.526300000005</v>
      </c>
      <c r="D32" s="29">
        <f>SUM(D5:D29)</f>
        <v>0</v>
      </c>
      <c r="E32" s="29">
        <f>SUM(E5:E29)</f>
        <v>0</v>
      </c>
      <c r="F32" s="29">
        <f>SUM(F5:F29)</f>
        <v>0</v>
      </c>
      <c r="H32" s="29">
        <f>SUM(H5:H29)</f>
        <v>0</v>
      </c>
    </row>
    <row r="33" spans="1:8" x14ac:dyDescent="0.2">
      <c r="A33" s="3" t="s">
        <v>7</v>
      </c>
      <c r="B33" s="24">
        <f>MAX(A5:A29)</f>
        <v>15</v>
      </c>
      <c r="C33" s="29">
        <v>0</v>
      </c>
      <c r="D33" s="29"/>
      <c r="E33" s="29"/>
      <c r="F33" s="29"/>
      <c r="G33" s="24"/>
      <c r="H33" s="24">
        <f>SUM(I5:I29)</f>
        <v>15</v>
      </c>
    </row>
    <row r="34" spans="1:8" x14ac:dyDescent="0.2">
      <c r="A34" s="3" t="s">
        <v>28</v>
      </c>
      <c r="B34" s="29">
        <f>$B$2*B33^2</f>
        <v>19125</v>
      </c>
      <c r="C34" s="29">
        <f>$B$2*C33^2</f>
        <v>0</v>
      </c>
      <c r="D34" s="29">
        <f>$B$2*D33^2</f>
        <v>0</v>
      </c>
      <c r="E34" s="29">
        <f>$B$2*E33^2</f>
        <v>0</v>
      </c>
      <c r="F34" s="29">
        <f>$B$2*F33^2</f>
        <v>0</v>
      </c>
      <c r="G34" s="4"/>
      <c r="H34" s="29">
        <f>$B$2*H33^2</f>
        <v>19125</v>
      </c>
    </row>
    <row r="35" spans="1:8" x14ac:dyDescent="0.2">
      <c r="A35" s="35" t="s">
        <v>55</v>
      </c>
      <c r="B35" s="29"/>
      <c r="C35" s="29"/>
      <c r="D35" s="31"/>
      <c r="E35" s="31"/>
      <c r="F35" s="31"/>
      <c r="H35" s="29">
        <f>J2*H33</f>
        <v>0</v>
      </c>
    </row>
    <row r="37" spans="1:8" x14ac:dyDescent="0.2">
      <c r="A37" s="3" t="s">
        <v>29</v>
      </c>
      <c r="B37" s="29">
        <f>B32-B34</f>
        <v>47519.796699999977</v>
      </c>
      <c r="C37" s="29">
        <f>C32-C34</f>
        <v>33471.526300000005</v>
      </c>
      <c r="D37" s="29">
        <f>D32-D34</f>
        <v>0</v>
      </c>
      <c r="E37" s="29">
        <f>E32-E34</f>
        <v>0</v>
      </c>
      <c r="F37" s="29">
        <f>F32-F34</f>
        <v>0</v>
      </c>
      <c r="H37" s="29">
        <f>H32-H34+H35</f>
        <v>-19125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0"/>
  <sheetViews>
    <sheetView topLeftCell="A13" workbookViewId="0">
      <selection activeCell="F45" sqref="F45"/>
    </sheetView>
  </sheetViews>
  <sheetFormatPr defaultColWidth="9.140625" defaultRowHeight="24.95" customHeight="1" x14ac:dyDescent="0.35"/>
  <cols>
    <col min="1" max="1" width="23.42578125" style="2" customWidth="1"/>
    <col min="2" max="2" width="30.5703125" style="2" customWidth="1"/>
    <col min="3" max="3" width="33.140625" style="2" customWidth="1"/>
    <col min="4" max="16384" width="9.140625" style="2"/>
  </cols>
  <sheetData>
    <row r="1" spans="1:3" s="1" customFormat="1" ht="99" customHeight="1" x14ac:dyDescent="0.35">
      <c r="A1" s="1" t="s">
        <v>0</v>
      </c>
      <c r="B1" s="1" t="s">
        <v>1</v>
      </c>
      <c r="C1" s="1" t="s">
        <v>2</v>
      </c>
    </row>
    <row r="2" spans="1:3" ht="50.1" customHeight="1" x14ac:dyDescent="0.35">
      <c r="A2" s="2">
        <v>5630.3131122602281</v>
      </c>
      <c r="B2" s="2">
        <v>2086.4945408712779</v>
      </c>
      <c r="C2" s="2">
        <v>3543.8185713889502</v>
      </c>
    </row>
    <row r="3" spans="1:3" ht="50.1" customHeight="1" x14ac:dyDescent="0.35">
      <c r="A3" s="2">
        <v>5370.3884655710117</v>
      </c>
      <c r="B3" s="2">
        <v>4477.1320682479754</v>
      </c>
      <c r="C3" s="2">
        <v>893.25639732303625</v>
      </c>
    </row>
    <row r="4" spans="1:3" ht="50.1" customHeight="1" x14ac:dyDescent="0.35">
      <c r="A4" s="2">
        <v>5294.6603443962995</v>
      </c>
      <c r="B4" s="2">
        <v>4511.919218879103</v>
      </c>
      <c r="C4" s="2">
        <v>782.74112551719645</v>
      </c>
    </row>
    <row r="5" spans="1:3" ht="50.1" customHeight="1" x14ac:dyDescent="0.35">
      <c r="A5" s="2">
        <v>3868.853275524727</v>
      </c>
      <c r="B5" s="2">
        <v>1081.3180842276531</v>
      </c>
      <c r="C5" s="2">
        <v>2787.5351912970737</v>
      </c>
    </row>
    <row r="6" spans="1:3" ht="50.1" customHeight="1" x14ac:dyDescent="0.35">
      <c r="A6" s="2">
        <v>13.028389610548402</v>
      </c>
      <c r="B6" s="2">
        <v>5.2360209737732415</v>
      </c>
      <c r="C6" s="2">
        <v>7.7923686367751603</v>
      </c>
    </row>
    <row r="7" spans="1:3" ht="50.1" customHeight="1" x14ac:dyDescent="0.35">
      <c r="A7" s="2">
        <v>5020.7237657842234</v>
      </c>
      <c r="B7" s="2">
        <v>2868.5036776167713</v>
      </c>
      <c r="C7" s="2">
        <v>2152.2200881674521</v>
      </c>
    </row>
    <row r="8" spans="1:3" ht="50.1" customHeight="1" x14ac:dyDescent="0.35">
      <c r="A8" s="2">
        <v>5969.2769495522607</v>
      </c>
      <c r="B8" s="2">
        <v>3219.1158159192237</v>
      </c>
      <c r="C8" s="2">
        <v>2750.161133633037</v>
      </c>
    </row>
    <row r="9" spans="1:3" ht="50.1" customHeight="1" x14ac:dyDescent="0.35">
      <c r="A9" s="2">
        <v>9184.5889832533503</v>
      </c>
      <c r="B9" s="2">
        <v>35.844524926492532</v>
      </c>
      <c r="C9" s="2">
        <v>9148.7444583268571</v>
      </c>
    </row>
    <row r="10" spans="1:3" ht="50.1" customHeight="1" x14ac:dyDescent="0.35">
      <c r="A10" s="2">
        <v>2976.1282676398278</v>
      </c>
      <c r="B10" s="2">
        <v>2511.9329398676077</v>
      </c>
      <c r="C10" s="2">
        <v>464.19532777222003</v>
      </c>
    </row>
    <row r="11" spans="1:3" ht="50.1" customHeight="1" x14ac:dyDescent="0.35">
      <c r="A11" s="2">
        <v>2325.3891642479157</v>
      </c>
      <c r="B11" s="2">
        <v>102.24048838912843</v>
      </c>
      <c r="C11" s="2">
        <v>2223.1486758587871</v>
      </c>
    </row>
    <row r="12" spans="1:3" ht="50.1" customHeight="1" x14ac:dyDescent="0.35">
      <c r="A12" s="2">
        <v>2817.2530289253591</v>
      </c>
      <c r="B12" s="2">
        <v>2185.3986938215371</v>
      </c>
      <c r="C12" s="2">
        <v>631.854335103822</v>
      </c>
    </row>
    <row r="13" spans="1:3" ht="50.1" customHeight="1" x14ac:dyDescent="0.35">
      <c r="A13" s="2">
        <v>5003.1831708172831</v>
      </c>
      <c r="B13" s="2">
        <v>4098.2611528497746</v>
      </c>
      <c r="C13" s="2">
        <v>904.92201796750851</v>
      </c>
    </row>
    <row r="14" spans="1:3" ht="50.1" customHeight="1" x14ac:dyDescent="0.35">
      <c r="A14" s="2">
        <v>1895.4483324873036</v>
      </c>
      <c r="B14" s="2">
        <v>677.09535615408004</v>
      </c>
      <c r="C14" s="2">
        <v>1218.3529763332235</v>
      </c>
    </row>
    <row r="15" spans="1:3" ht="50.1" customHeight="1" x14ac:dyDescent="0.35">
      <c r="A15" s="2">
        <v>7370.3779871141633</v>
      </c>
      <c r="B15" s="2">
        <v>3076.513157348084</v>
      </c>
      <c r="C15" s="2">
        <v>4293.8648297660793</v>
      </c>
    </row>
    <row r="16" spans="1:3" ht="50.1" customHeight="1" x14ac:dyDescent="0.35">
      <c r="A16" s="2">
        <v>3905.1834499756151</v>
      </c>
      <c r="B16" s="2">
        <v>2534.5204864846946</v>
      </c>
      <c r="C16" s="2">
        <v>1370.6629634909204</v>
      </c>
    </row>
    <row r="17" spans="1:3" ht="50.1" customHeight="1" x14ac:dyDescent="0.35">
      <c r="A17" s="2">
        <v>7473.9731451813168</v>
      </c>
      <c r="B17" s="2">
        <v>6933.0727401891618</v>
      </c>
      <c r="C17" s="2">
        <v>540.90040499215502</v>
      </c>
    </row>
    <row r="18" spans="1:3" ht="50.1" customHeight="1" x14ac:dyDescent="0.35">
      <c r="A18" s="2">
        <v>4683.6568436434354</v>
      </c>
      <c r="B18" s="2">
        <v>3103.2782456184195</v>
      </c>
      <c r="C18" s="2">
        <v>1580.3785980250159</v>
      </c>
    </row>
    <row r="19" spans="1:3" ht="50.1" customHeight="1" x14ac:dyDescent="0.35">
      <c r="A19" s="2">
        <v>8941.9619412063657</v>
      </c>
      <c r="B19" s="2">
        <v>439.32568231259455</v>
      </c>
      <c r="C19" s="2">
        <v>8502.6362588937718</v>
      </c>
    </row>
    <row r="20" spans="1:3" ht="50.1" customHeight="1" x14ac:dyDescent="0.35">
      <c r="A20" s="2">
        <v>756.24488330622262</v>
      </c>
      <c r="B20" s="2">
        <v>42.129837113464362</v>
      </c>
      <c r="C20" s="2">
        <v>714.1150461927582</v>
      </c>
    </row>
    <row r="21" spans="1:3" ht="50.1" customHeight="1" x14ac:dyDescent="0.35">
      <c r="A21" s="2">
        <v>7184.9470950560899</v>
      </c>
      <c r="B21" s="2">
        <v>5617.0993839858993</v>
      </c>
      <c r="C21" s="2">
        <v>1567.8477110701906</v>
      </c>
    </row>
    <row r="22" spans="1:3" ht="50.1" customHeight="1" x14ac:dyDescent="0.35">
      <c r="A22" s="2">
        <v>7962.9344699280082</v>
      </c>
      <c r="B22" s="2">
        <v>7929.2905861938762</v>
      </c>
      <c r="C22" s="2">
        <v>33.643883734132032</v>
      </c>
    </row>
    <row r="23" spans="1:3" ht="50.1" customHeight="1" x14ac:dyDescent="0.35">
      <c r="A23" s="2">
        <v>8994.8684712573413</v>
      </c>
      <c r="B23" s="2">
        <v>4802.1213063384066</v>
      </c>
      <c r="C23" s="2">
        <v>4192.7471649189347</v>
      </c>
    </row>
    <row r="24" spans="1:3" ht="50.1" customHeight="1" x14ac:dyDescent="0.35">
      <c r="A24" s="2">
        <v>7581.9942561035641</v>
      </c>
      <c r="B24" s="2">
        <v>368.92577079019418</v>
      </c>
      <c r="C24" s="2">
        <v>7213.0684853133698</v>
      </c>
    </row>
    <row r="25" spans="1:3" ht="50.1" customHeight="1" x14ac:dyDescent="0.35">
      <c r="A25" s="2">
        <v>2553.8689840771531</v>
      </c>
      <c r="B25" s="2">
        <v>2187.2994133808402</v>
      </c>
      <c r="C25" s="2">
        <v>366.56957069631289</v>
      </c>
    </row>
    <row r="26" spans="1:3" ht="50.1" customHeight="1" x14ac:dyDescent="0.35">
      <c r="A26" s="2">
        <v>9663.3638061228812</v>
      </c>
      <c r="B26" s="2">
        <v>4380.5736422356367</v>
      </c>
      <c r="C26" s="2">
        <v>5282.7901638872445</v>
      </c>
    </row>
    <row r="27" spans="1:3" ht="50.1" customHeight="1" x14ac:dyDescent="0.35">
      <c r="A27" s="2">
        <v>8094.3708091503395</v>
      </c>
      <c r="B27" s="2">
        <v>2870.8765695864017</v>
      </c>
      <c r="C27" s="2">
        <v>5223.4942395639373</v>
      </c>
    </row>
    <row r="28" spans="1:3" ht="50.1" customHeight="1" x14ac:dyDescent="0.35">
      <c r="A28" s="2">
        <v>4627.7667493001372</v>
      </c>
      <c r="B28" s="2">
        <v>3385.9748808295781</v>
      </c>
      <c r="C28" s="2">
        <v>1241.7918684705592</v>
      </c>
    </row>
    <row r="29" spans="1:3" ht="50.1" customHeight="1" x14ac:dyDescent="0.35">
      <c r="A29" s="2">
        <v>744.19454918482006</v>
      </c>
      <c r="B29" s="2">
        <v>662.58496147803805</v>
      </c>
      <c r="C29" s="2">
        <v>81.609587706782008</v>
      </c>
    </row>
    <row r="30" spans="1:3" ht="50.1" customHeight="1" x14ac:dyDescent="0.35">
      <c r="A30" s="2">
        <v>9572.5566271744174</v>
      </c>
      <c r="B30" s="2">
        <v>7412.6504698156732</v>
      </c>
      <c r="C30" s="2">
        <v>2159.9061573587442</v>
      </c>
    </row>
    <row r="31" spans="1:3" ht="50.1" customHeight="1" x14ac:dyDescent="0.35">
      <c r="A31" s="2">
        <v>8385.2081019241923</v>
      </c>
      <c r="B31" s="2">
        <v>3512.8183911928127</v>
      </c>
      <c r="C31" s="2">
        <v>4872.3897107313796</v>
      </c>
    </row>
    <row r="32" spans="1:3" ht="50.1" customHeight="1" x14ac:dyDescent="0.35"/>
    <row r="33" ht="50.1" customHeight="1" x14ac:dyDescent="0.35"/>
    <row r="34" ht="50.1" customHeight="1" x14ac:dyDescent="0.35"/>
    <row r="35" ht="50.1" customHeight="1" x14ac:dyDescent="0.35"/>
    <row r="36" ht="50.1" customHeight="1" x14ac:dyDescent="0.35"/>
    <row r="37" ht="50.1" customHeight="1" x14ac:dyDescent="0.35"/>
    <row r="38" ht="50.1" customHeight="1" x14ac:dyDescent="0.35"/>
    <row r="39" ht="50.1" customHeight="1" x14ac:dyDescent="0.35"/>
    <row r="40" ht="50.1" customHeight="1" x14ac:dyDescent="0.35"/>
    <row r="41" ht="50.1" customHeight="1" x14ac:dyDescent="0.35"/>
    <row r="42" ht="50.1" customHeight="1" x14ac:dyDescent="0.35"/>
    <row r="43" ht="50.1" customHeight="1" x14ac:dyDescent="0.35"/>
    <row r="44" ht="50.1" customHeight="1" x14ac:dyDescent="0.35"/>
    <row r="45" ht="50.1" customHeight="1" x14ac:dyDescent="0.35"/>
    <row r="46" ht="50.1" customHeight="1" x14ac:dyDescent="0.35"/>
    <row r="47" ht="50.1" customHeight="1" x14ac:dyDescent="0.35"/>
    <row r="48" ht="50.1" customHeight="1" x14ac:dyDescent="0.35"/>
    <row r="49" ht="50.1" customHeight="1" x14ac:dyDescent="0.35"/>
    <row r="50" ht="50.1" customHeight="1" x14ac:dyDescent="0.35"/>
    <row r="51" ht="50.1" customHeight="1" x14ac:dyDescent="0.35"/>
    <row r="52" ht="50.1" customHeight="1" x14ac:dyDescent="0.35"/>
    <row r="53" ht="50.1" customHeight="1" x14ac:dyDescent="0.35"/>
    <row r="54" ht="50.1" customHeight="1" x14ac:dyDescent="0.35"/>
    <row r="55" ht="50.1" customHeight="1" x14ac:dyDescent="0.35"/>
    <row r="56" ht="50.1" customHeight="1" x14ac:dyDescent="0.35"/>
    <row r="57" ht="50.1" customHeight="1" x14ac:dyDescent="0.35"/>
    <row r="58" ht="50.1" customHeight="1" x14ac:dyDescent="0.35"/>
    <row r="59" ht="50.1" customHeight="1" x14ac:dyDescent="0.35"/>
    <row r="60" ht="50.1" customHeight="1" x14ac:dyDescent="0.35"/>
    <row r="61" ht="50.1" customHeight="1" x14ac:dyDescent="0.35"/>
    <row r="62" ht="50.1" customHeight="1" x14ac:dyDescent="0.35"/>
    <row r="63" ht="50.1" customHeight="1" x14ac:dyDescent="0.35"/>
    <row r="64" ht="50.1" customHeight="1" x14ac:dyDescent="0.35"/>
    <row r="65" ht="50.1" customHeight="1" x14ac:dyDescent="0.35"/>
    <row r="66" ht="50.1" customHeight="1" x14ac:dyDescent="0.35"/>
    <row r="67" ht="50.1" customHeight="1" x14ac:dyDescent="0.35"/>
    <row r="68" ht="50.1" customHeight="1" x14ac:dyDescent="0.35"/>
    <row r="69" ht="50.1" customHeight="1" x14ac:dyDescent="0.35"/>
    <row r="70" ht="50.1" customHeight="1" x14ac:dyDescent="0.35"/>
    <row r="71" ht="50.1" customHeight="1" x14ac:dyDescent="0.35"/>
    <row r="72" ht="50.1" customHeight="1" x14ac:dyDescent="0.35"/>
    <row r="73" ht="50.1" customHeight="1" x14ac:dyDescent="0.35"/>
    <row r="74" ht="50.1" customHeight="1" x14ac:dyDescent="0.35"/>
    <row r="75" ht="50.1" customHeight="1" x14ac:dyDescent="0.35"/>
    <row r="76" ht="50.1" customHeight="1" x14ac:dyDescent="0.35"/>
    <row r="77" ht="50.1" customHeight="1" x14ac:dyDescent="0.35"/>
    <row r="78" ht="50.1" customHeight="1" x14ac:dyDescent="0.35"/>
    <row r="79" ht="50.1" customHeight="1" x14ac:dyDescent="0.35"/>
    <row r="80" ht="50.1" customHeight="1" x14ac:dyDescent="0.35"/>
    <row r="81" ht="50.1" customHeight="1" x14ac:dyDescent="0.35"/>
    <row r="82" ht="50.1" customHeight="1" x14ac:dyDescent="0.35"/>
    <row r="83" ht="50.1" customHeight="1" x14ac:dyDescent="0.35"/>
    <row r="84" ht="50.1" customHeight="1" x14ac:dyDescent="0.35"/>
    <row r="85" ht="50.1" customHeight="1" x14ac:dyDescent="0.35"/>
    <row r="86" ht="50.1" customHeight="1" x14ac:dyDescent="0.35"/>
    <row r="87" ht="50.1" customHeight="1" x14ac:dyDescent="0.35"/>
    <row r="88" ht="50.1" customHeight="1" x14ac:dyDescent="0.35"/>
    <row r="89" ht="50.1" customHeight="1" x14ac:dyDescent="0.35"/>
    <row r="90" ht="50.1" customHeight="1" x14ac:dyDescent="0.35"/>
    <row r="91" ht="50.1" customHeight="1" x14ac:dyDescent="0.35"/>
    <row r="92" ht="50.1" customHeight="1" x14ac:dyDescent="0.35"/>
    <row r="93" ht="50.1" customHeight="1" x14ac:dyDescent="0.35"/>
    <row r="94" ht="50.1" customHeight="1" x14ac:dyDescent="0.35"/>
    <row r="95" ht="50.1" customHeight="1" x14ac:dyDescent="0.35"/>
    <row r="96" ht="50.1" customHeight="1" x14ac:dyDescent="0.35"/>
    <row r="97" ht="50.1" customHeight="1" x14ac:dyDescent="0.35"/>
    <row r="98" ht="50.1" customHeight="1" x14ac:dyDescent="0.35"/>
    <row r="99" ht="50.1" customHeight="1" x14ac:dyDescent="0.35"/>
    <row r="100" ht="50.1" customHeight="1" x14ac:dyDescent="0.35"/>
    <row r="101" ht="50.1" customHeight="1" x14ac:dyDescent="0.35"/>
    <row r="102" ht="50.1" customHeight="1" x14ac:dyDescent="0.35"/>
    <row r="103" ht="50.1" customHeight="1" x14ac:dyDescent="0.35"/>
    <row r="104" ht="50.1" customHeight="1" x14ac:dyDescent="0.35"/>
    <row r="105" ht="50.1" customHeight="1" x14ac:dyDescent="0.35"/>
    <row r="106" ht="50.1" customHeight="1" x14ac:dyDescent="0.35"/>
    <row r="107" ht="50.1" customHeight="1" x14ac:dyDescent="0.35"/>
    <row r="108" ht="50.1" customHeight="1" x14ac:dyDescent="0.35"/>
    <row r="109" ht="50.1" customHeight="1" x14ac:dyDescent="0.35"/>
    <row r="110" ht="50.1" customHeight="1" x14ac:dyDescent="0.35"/>
    <row r="111" ht="50.1" customHeight="1" x14ac:dyDescent="0.35"/>
    <row r="112" ht="50.1" customHeight="1" x14ac:dyDescent="0.35"/>
    <row r="113" ht="50.1" customHeight="1" x14ac:dyDescent="0.35"/>
    <row r="114" ht="50.1" customHeight="1" x14ac:dyDescent="0.35"/>
    <row r="115" ht="50.1" customHeight="1" x14ac:dyDescent="0.35"/>
    <row r="116" ht="50.1" customHeight="1" x14ac:dyDescent="0.35"/>
    <row r="117" ht="50.1" customHeight="1" x14ac:dyDescent="0.35"/>
    <row r="118" ht="50.1" customHeight="1" x14ac:dyDescent="0.35"/>
    <row r="119" ht="50.1" customHeight="1" x14ac:dyDescent="0.35"/>
    <row r="120" ht="50.1" customHeight="1" x14ac:dyDescent="0.35"/>
    <row r="121" ht="50.1" customHeight="1" x14ac:dyDescent="0.35"/>
    <row r="122" ht="50.1" customHeight="1" x14ac:dyDescent="0.35"/>
    <row r="123" ht="50.1" customHeight="1" x14ac:dyDescent="0.35"/>
    <row r="124" ht="50.1" customHeight="1" x14ac:dyDescent="0.35"/>
    <row r="125" ht="50.1" customHeight="1" x14ac:dyDescent="0.35"/>
    <row r="126" ht="50.1" customHeight="1" x14ac:dyDescent="0.35"/>
    <row r="127" ht="50.1" customHeight="1" x14ac:dyDescent="0.35"/>
    <row r="128" ht="50.1" customHeight="1" x14ac:dyDescent="0.35"/>
    <row r="129" ht="50.1" customHeight="1" x14ac:dyDescent="0.35"/>
    <row r="130" ht="50.1" customHeight="1" x14ac:dyDescent="0.35"/>
    <row r="131" ht="50.1" customHeight="1" x14ac:dyDescent="0.35"/>
    <row r="132" ht="50.1" customHeight="1" x14ac:dyDescent="0.35"/>
    <row r="133" ht="50.1" customHeight="1" x14ac:dyDescent="0.35"/>
    <row r="134" ht="50.1" customHeight="1" x14ac:dyDescent="0.35"/>
    <row r="135" ht="50.1" customHeight="1" x14ac:dyDescent="0.35"/>
    <row r="136" ht="50.1" customHeight="1" x14ac:dyDescent="0.35"/>
    <row r="137" ht="50.1" customHeight="1" x14ac:dyDescent="0.35"/>
    <row r="138" ht="50.1" customHeight="1" x14ac:dyDescent="0.35"/>
    <row r="139" ht="50.1" customHeight="1" x14ac:dyDescent="0.35"/>
    <row r="140" ht="50.1" customHeight="1" x14ac:dyDescent="0.35"/>
    <row r="141" ht="50.1" customHeight="1" x14ac:dyDescent="0.35"/>
    <row r="142" ht="50.1" customHeight="1" x14ac:dyDescent="0.35"/>
    <row r="143" ht="50.1" customHeight="1" x14ac:dyDescent="0.35"/>
    <row r="144" ht="50.1" customHeight="1" x14ac:dyDescent="0.35"/>
    <row r="145" ht="50.1" customHeight="1" x14ac:dyDescent="0.35"/>
    <row r="146" ht="50.1" customHeight="1" x14ac:dyDescent="0.35"/>
    <row r="147" ht="50.1" customHeight="1" x14ac:dyDescent="0.35"/>
    <row r="148" ht="50.1" customHeight="1" x14ac:dyDescent="0.35"/>
    <row r="149" ht="50.1" customHeight="1" x14ac:dyDescent="0.35"/>
    <row r="150" ht="50.1" customHeight="1" x14ac:dyDescent="0.35"/>
    <row r="151" ht="50.1" customHeight="1" x14ac:dyDescent="0.35"/>
    <row r="152" ht="50.1" customHeight="1" x14ac:dyDescent="0.35"/>
    <row r="153" ht="50.1" customHeight="1" x14ac:dyDescent="0.35"/>
    <row r="154" ht="50.1" customHeight="1" x14ac:dyDescent="0.35"/>
    <row r="155" ht="50.1" customHeight="1" x14ac:dyDescent="0.35"/>
    <row r="156" ht="50.1" customHeight="1" x14ac:dyDescent="0.35"/>
    <row r="157" ht="50.1" customHeight="1" x14ac:dyDescent="0.35"/>
    <row r="158" ht="50.1" customHeight="1" x14ac:dyDescent="0.35"/>
    <row r="159" ht="50.1" customHeight="1" x14ac:dyDescent="0.35"/>
    <row r="160" ht="50.1" customHeight="1" x14ac:dyDescent="0.35"/>
    <row r="161" ht="50.1" customHeight="1" x14ac:dyDescent="0.35"/>
    <row r="162" ht="50.1" customHeight="1" x14ac:dyDescent="0.35"/>
    <row r="163" ht="50.1" customHeight="1" x14ac:dyDescent="0.35"/>
    <row r="164" ht="50.1" customHeight="1" x14ac:dyDescent="0.35"/>
    <row r="165" ht="50.1" customHeight="1" x14ac:dyDescent="0.35"/>
    <row r="166" ht="50.1" customHeight="1" x14ac:dyDescent="0.35"/>
    <row r="167" ht="50.1" customHeight="1" x14ac:dyDescent="0.35"/>
    <row r="168" ht="50.1" customHeight="1" x14ac:dyDescent="0.35"/>
    <row r="169" ht="50.1" customHeight="1" x14ac:dyDescent="0.35"/>
    <row r="170" ht="50.1" customHeight="1" x14ac:dyDescent="0.35"/>
    <row r="171" ht="50.1" customHeight="1" x14ac:dyDescent="0.35"/>
    <row r="172" ht="50.1" customHeight="1" x14ac:dyDescent="0.35"/>
    <row r="173" ht="50.1" customHeight="1" x14ac:dyDescent="0.35"/>
    <row r="174" ht="50.1" customHeight="1" x14ac:dyDescent="0.35"/>
    <row r="175" ht="50.1" customHeight="1" x14ac:dyDescent="0.35"/>
    <row r="176" ht="50.1" customHeight="1" x14ac:dyDescent="0.35"/>
    <row r="177" ht="50.1" customHeight="1" x14ac:dyDescent="0.35"/>
    <row r="178" ht="50.1" customHeight="1" x14ac:dyDescent="0.35"/>
    <row r="179" ht="50.1" customHeight="1" x14ac:dyDescent="0.35"/>
    <row r="180" ht="50.1" customHeight="1" x14ac:dyDescent="0.35"/>
    <row r="181" ht="50.1" customHeight="1" x14ac:dyDescent="0.35"/>
    <row r="182" ht="50.1" customHeight="1" x14ac:dyDescent="0.35"/>
    <row r="183" ht="50.1" customHeight="1" x14ac:dyDescent="0.35"/>
    <row r="184" ht="50.1" customHeight="1" x14ac:dyDescent="0.35"/>
    <row r="185" ht="50.1" customHeight="1" x14ac:dyDescent="0.35"/>
    <row r="186" ht="50.1" customHeight="1" x14ac:dyDescent="0.35"/>
    <row r="187" ht="50.1" customHeight="1" x14ac:dyDescent="0.35"/>
    <row r="188" ht="50.1" customHeight="1" x14ac:dyDescent="0.35"/>
    <row r="189" ht="50.1" customHeight="1" x14ac:dyDescent="0.35"/>
    <row r="190" ht="50.1" customHeight="1" x14ac:dyDescent="0.35"/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2"/>
  <sheetViews>
    <sheetView workbookViewId="0">
      <selection activeCell="F45" sqref="F45"/>
    </sheetView>
  </sheetViews>
  <sheetFormatPr defaultRowHeight="12.75" x14ac:dyDescent="0.2"/>
  <cols>
    <col min="1" max="1" width="29.85546875" customWidth="1"/>
    <col min="2" max="2" width="17.7109375" customWidth="1"/>
    <col min="3" max="3" width="22.5703125" customWidth="1"/>
  </cols>
  <sheetData>
    <row r="1" spans="1:3" x14ac:dyDescent="0.2">
      <c r="A1" s="3" t="s">
        <v>14</v>
      </c>
      <c r="B1" s="29">
        <v>5370.3885</v>
      </c>
    </row>
    <row r="2" spans="1:3" x14ac:dyDescent="0.2">
      <c r="A2" s="3" t="s">
        <v>15</v>
      </c>
      <c r="B2" s="29">
        <v>4477.1320999999998</v>
      </c>
    </row>
    <row r="3" spans="1:3" x14ac:dyDescent="0.2">
      <c r="A3" s="3" t="s">
        <v>5</v>
      </c>
      <c r="B3" s="29">
        <f>B1-B2</f>
        <v>893.25640000000021</v>
      </c>
    </row>
    <row r="4" spans="1:3" x14ac:dyDescent="0.2">
      <c r="A4" s="3"/>
      <c r="B4" s="4"/>
    </row>
    <row r="5" spans="1:3" x14ac:dyDescent="0.2">
      <c r="A5" s="20" t="s">
        <v>23</v>
      </c>
      <c r="B5" s="4"/>
    </row>
    <row r="6" spans="1:3" x14ac:dyDescent="0.2">
      <c r="A6" s="14" t="s">
        <v>19</v>
      </c>
      <c r="B6" s="14" t="s">
        <v>16</v>
      </c>
      <c r="C6" s="15" t="s">
        <v>20</v>
      </c>
    </row>
    <row r="7" spans="1:3" x14ac:dyDescent="0.2">
      <c r="C7" s="8"/>
    </row>
    <row r="8" spans="1:3" x14ac:dyDescent="0.2">
      <c r="C8" s="8"/>
    </row>
    <row r="9" spans="1:3" x14ac:dyDescent="0.2">
      <c r="C9" s="8"/>
    </row>
    <row r="10" spans="1:3" x14ac:dyDescent="0.2">
      <c r="C10" s="8"/>
    </row>
    <row r="11" spans="1:3" x14ac:dyDescent="0.2">
      <c r="C11" s="8"/>
    </row>
    <row r="12" spans="1:3" x14ac:dyDescent="0.2">
      <c r="C12" s="8"/>
    </row>
    <row r="13" spans="1:3" x14ac:dyDescent="0.2">
      <c r="C13" s="8"/>
    </row>
    <row r="14" spans="1:3" x14ac:dyDescent="0.2">
      <c r="C14" s="8"/>
    </row>
    <row r="15" spans="1:3" x14ac:dyDescent="0.2">
      <c r="C15" s="8"/>
    </row>
    <row r="16" spans="1:3" x14ac:dyDescent="0.2">
      <c r="C16" s="8"/>
    </row>
    <row r="17" spans="1:3" x14ac:dyDescent="0.2">
      <c r="C17" s="8"/>
    </row>
    <row r="18" spans="1:3" x14ac:dyDescent="0.2">
      <c r="C18" s="8"/>
    </row>
    <row r="19" spans="1:3" x14ac:dyDescent="0.2">
      <c r="C19" s="8"/>
    </row>
    <row r="20" spans="1:3" x14ac:dyDescent="0.2">
      <c r="C20" s="8"/>
    </row>
    <row r="21" spans="1:3" ht="25.5" x14ac:dyDescent="0.2">
      <c r="A21" s="17" t="s">
        <v>21</v>
      </c>
      <c r="C21" s="8"/>
    </row>
    <row r="22" spans="1:3" x14ac:dyDescent="0.2">
      <c r="A22" s="3" t="s">
        <v>24</v>
      </c>
      <c r="B22" s="31">
        <f>B1</f>
        <v>5370.3885</v>
      </c>
      <c r="C22" s="8"/>
    </row>
    <row r="23" spans="1:3" ht="15" customHeight="1" x14ac:dyDescent="0.2">
      <c r="A23" s="16" t="s">
        <v>25</v>
      </c>
      <c r="B23" s="32">
        <f>B2</f>
        <v>4477.1320999999998</v>
      </c>
      <c r="C23" s="9"/>
    </row>
    <row r="24" spans="1:3" x14ac:dyDescent="0.2">
      <c r="A24" s="19" t="s">
        <v>17</v>
      </c>
      <c r="B24" s="18"/>
      <c r="C24" s="22"/>
    </row>
    <row r="25" spans="1:3" ht="13.5" thickBot="1" x14ac:dyDescent="0.25">
      <c r="A25" s="18"/>
      <c r="B25" s="18"/>
      <c r="C25" s="23"/>
    </row>
    <row r="26" spans="1:3" x14ac:dyDescent="0.2">
      <c r="A26" s="3" t="s">
        <v>18</v>
      </c>
      <c r="B26" s="10"/>
      <c r="C26" s="11"/>
    </row>
    <row r="27" spans="1:3" ht="13.5" thickBot="1" x14ac:dyDescent="0.25">
      <c r="B27" s="12"/>
      <c r="C27" s="13"/>
    </row>
    <row r="29" spans="1:3" x14ac:dyDescent="0.2">
      <c r="A29" s="21" t="s">
        <v>22</v>
      </c>
      <c r="B29" s="18"/>
      <c r="C29" s="18"/>
    </row>
    <row r="30" spans="1:3" x14ac:dyDescent="0.2">
      <c r="A30" s="18"/>
      <c r="B30" s="18"/>
      <c r="C30" s="18"/>
    </row>
    <row r="31" spans="1:3" x14ac:dyDescent="0.2">
      <c r="A31" s="14" t="s">
        <v>19</v>
      </c>
      <c r="B31" s="14" t="s">
        <v>16</v>
      </c>
      <c r="C31" s="15" t="s">
        <v>20</v>
      </c>
    </row>
    <row r="32" spans="1:3" x14ac:dyDescent="0.2">
      <c r="C32" s="8"/>
    </row>
    <row r="33" spans="1:3" x14ac:dyDescent="0.2">
      <c r="C33" s="8"/>
    </row>
    <row r="34" spans="1:3" x14ac:dyDescent="0.2">
      <c r="C34" s="8"/>
    </row>
    <row r="35" spans="1:3" x14ac:dyDescent="0.2">
      <c r="C35" s="8"/>
    </row>
    <row r="36" spans="1:3" x14ac:dyDescent="0.2">
      <c r="C36" s="8"/>
    </row>
    <row r="37" spans="1:3" x14ac:dyDescent="0.2">
      <c r="C37" s="8"/>
    </row>
    <row r="38" spans="1:3" x14ac:dyDescent="0.2">
      <c r="C38" s="8"/>
    </row>
    <row r="39" spans="1:3" x14ac:dyDescent="0.2">
      <c r="C39" s="8"/>
    </row>
    <row r="40" spans="1:3" x14ac:dyDescent="0.2">
      <c r="C40" s="8"/>
    </row>
    <row r="41" spans="1:3" x14ac:dyDescent="0.2">
      <c r="C41" s="8"/>
    </row>
    <row r="42" spans="1:3" x14ac:dyDescent="0.2">
      <c r="C42" s="8"/>
    </row>
    <row r="43" spans="1:3" x14ac:dyDescent="0.2">
      <c r="C43" s="8"/>
    </row>
    <row r="44" spans="1:3" x14ac:dyDescent="0.2">
      <c r="C44" s="8"/>
    </row>
    <row r="45" spans="1:3" x14ac:dyDescent="0.2">
      <c r="C45" s="8"/>
    </row>
    <row r="46" spans="1:3" ht="25.5" x14ac:dyDescent="0.2">
      <c r="A46" s="17" t="s">
        <v>21</v>
      </c>
      <c r="C46" s="8"/>
    </row>
    <row r="47" spans="1:3" x14ac:dyDescent="0.2">
      <c r="A47" s="3" t="s">
        <v>24</v>
      </c>
      <c r="B47" s="31">
        <f>B1</f>
        <v>5370.3885</v>
      </c>
      <c r="C47" s="8"/>
    </row>
    <row r="48" spans="1:3" x14ac:dyDescent="0.2">
      <c r="A48" s="16" t="s">
        <v>25</v>
      </c>
      <c r="B48" s="32">
        <f>B2</f>
        <v>4477.1320999999998</v>
      </c>
      <c r="C48" s="9"/>
    </row>
    <row r="49" spans="1:3" x14ac:dyDescent="0.2">
      <c r="A49" s="19" t="s">
        <v>17</v>
      </c>
      <c r="B49" s="18"/>
      <c r="C49" s="22"/>
    </row>
    <row r="50" spans="1:3" ht="13.5" thickBot="1" x14ac:dyDescent="0.25">
      <c r="A50" s="18"/>
      <c r="B50" s="18"/>
      <c r="C50" s="23"/>
    </row>
    <row r="51" spans="1:3" x14ac:dyDescent="0.2">
      <c r="A51" s="3" t="s">
        <v>18</v>
      </c>
      <c r="B51" s="10"/>
      <c r="C51" s="11"/>
    </row>
    <row r="52" spans="1:3" ht="13.5" thickBot="1" x14ac:dyDescent="0.25">
      <c r="A52" s="33"/>
      <c r="B52" s="12"/>
      <c r="C52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33"/>
  <sheetViews>
    <sheetView workbookViewId="0">
      <selection activeCell="E28" sqref="E28"/>
    </sheetView>
  </sheetViews>
  <sheetFormatPr defaultRowHeight="12.75" x14ac:dyDescent="0.2"/>
  <cols>
    <col min="1" max="2" width="15.85546875" customWidth="1"/>
    <col min="3" max="3" width="13.42578125" customWidth="1"/>
    <col min="4" max="4" width="11.5703125" bestFit="1" customWidth="1"/>
    <col min="5" max="5" width="10.7109375" bestFit="1" customWidth="1"/>
    <col min="6" max="6" width="12.7109375" customWidth="1"/>
    <col min="7" max="7" width="14.5703125" customWidth="1"/>
    <col min="8" max="8" width="19.42578125" customWidth="1"/>
    <col min="11" max="11" width="11.28515625" bestFit="1" customWidth="1"/>
    <col min="12" max="12" width="13" customWidth="1"/>
    <col min="13" max="13" width="11.28515625" bestFit="1" customWidth="1"/>
  </cols>
  <sheetData>
    <row r="1" spans="1:15" x14ac:dyDescent="0.2">
      <c r="A1" s="3"/>
      <c r="B1" s="3" t="s">
        <v>33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13</v>
      </c>
      <c r="H1" s="35" t="s">
        <v>56</v>
      </c>
      <c r="M1" t="s">
        <v>6</v>
      </c>
    </row>
    <row r="2" spans="1:15" x14ac:dyDescent="0.2">
      <c r="A2">
        <v>1</v>
      </c>
      <c r="C2" s="29">
        <v>9184.5889999999999</v>
      </c>
      <c r="D2" s="36">
        <v>35.844499999999996</v>
      </c>
      <c r="E2" s="36">
        <v>9148.7445000000007</v>
      </c>
      <c r="F2" s="29">
        <v>680</v>
      </c>
      <c r="G2" s="37">
        <f>SUM($E$2:E2)-F2</f>
        <v>8468.7445000000007</v>
      </c>
      <c r="H2" s="4">
        <f t="shared" ref="H2:H26" si="0">2*$D$28*A2</f>
        <v>170</v>
      </c>
      <c r="K2" s="4"/>
      <c r="L2" s="31">
        <f>C2+SUM(D3:$D$21)</f>
        <v>42620.270799999998</v>
      </c>
      <c r="M2" s="29">
        <f t="shared" ref="M2:M19" si="1">$D$28*A2^2</f>
        <v>85</v>
      </c>
      <c r="N2" s="31">
        <f>L2-M2</f>
        <v>42535.270799999998</v>
      </c>
      <c r="O2">
        <f>IF(N2=$N$29,1,0)*A2</f>
        <v>0</v>
      </c>
    </row>
    <row r="3" spans="1:15" x14ac:dyDescent="0.2">
      <c r="A3">
        <v>2</v>
      </c>
      <c r="C3" s="29">
        <v>7370.3779999999997</v>
      </c>
      <c r="D3" s="36">
        <v>3076.5131999999999</v>
      </c>
      <c r="E3" s="36">
        <v>4293.8648000000003</v>
      </c>
      <c r="F3" s="29">
        <v>1190</v>
      </c>
      <c r="G3" s="37">
        <f>SUM($E$2:E3)-F3</f>
        <v>12252.6093</v>
      </c>
      <c r="H3" s="4">
        <f t="shared" si="0"/>
        <v>340</v>
      </c>
      <c r="K3" s="4"/>
      <c r="L3" s="31">
        <f>IF(C3&gt;0,SUM($C$2:C3)+SUM(D4:$D$26),0)</f>
        <v>46914.135600000001</v>
      </c>
      <c r="M3" s="29">
        <f t="shared" si="1"/>
        <v>340</v>
      </c>
      <c r="N3" s="31">
        <f t="shared" ref="N3:N26" si="2">L3-M3</f>
        <v>46574.135600000001</v>
      </c>
      <c r="O3">
        <f t="shared" ref="O3:O26" si="3">IF(N3=$N$29,1,0)*A3</f>
        <v>0</v>
      </c>
    </row>
    <row r="4" spans="1:15" x14ac:dyDescent="0.2">
      <c r="A4">
        <v>3</v>
      </c>
      <c r="C4" s="29">
        <v>5630.3131000000003</v>
      </c>
      <c r="D4" s="36">
        <v>2086.4944999999998</v>
      </c>
      <c r="E4" s="36">
        <v>3543.8186000000001</v>
      </c>
      <c r="F4" s="29">
        <v>85</v>
      </c>
      <c r="G4" s="37">
        <f>SUM($E$2:E4)-F4</f>
        <v>16901.427899999999</v>
      </c>
      <c r="H4" s="4">
        <f t="shared" si="0"/>
        <v>510</v>
      </c>
      <c r="K4" s="4"/>
      <c r="L4" s="31">
        <f>IF(C4&gt;0,SUM($C$2:C4)+SUM(D5:$D$26),0)</f>
        <v>50457.9542</v>
      </c>
      <c r="M4" s="29">
        <f t="shared" si="1"/>
        <v>765</v>
      </c>
      <c r="N4" s="31">
        <f t="shared" si="2"/>
        <v>49692.9542</v>
      </c>
      <c r="O4">
        <f t="shared" si="3"/>
        <v>0</v>
      </c>
    </row>
    <row r="5" spans="1:15" x14ac:dyDescent="0.2">
      <c r="A5">
        <v>4</v>
      </c>
      <c r="C5" s="29">
        <v>3868.8533000000002</v>
      </c>
      <c r="D5" s="36">
        <v>1081.3181</v>
      </c>
      <c r="E5" s="36">
        <v>2787.5351999999998</v>
      </c>
      <c r="F5" s="29">
        <v>340</v>
      </c>
      <c r="G5" s="37">
        <f>SUM($E$2:E5)-F5</f>
        <v>19433.963099999997</v>
      </c>
      <c r="H5" s="4">
        <f t="shared" si="0"/>
        <v>680</v>
      </c>
      <c r="K5" s="4"/>
      <c r="L5" s="31">
        <f>IF(C5&gt;0,SUM($C$2:C5)+SUM(D6:$D$26),0)</f>
        <v>53245.489400000006</v>
      </c>
      <c r="M5" s="29">
        <f t="shared" si="1"/>
        <v>1360</v>
      </c>
      <c r="N5" s="31">
        <f t="shared" si="2"/>
        <v>51885.489400000006</v>
      </c>
      <c r="O5">
        <f t="shared" si="3"/>
        <v>0</v>
      </c>
    </row>
    <row r="6" spans="1:15" x14ac:dyDescent="0.2">
      <c r="A6">
        <v>5</v>
      </c>
      <c r="C6" s="29">
        <v>5969.2768999999998</v>
      </c>
      <c r="D6" s="36">
        <v>3219.1158</v>
      </c>
      <c r="E6" s="36">
        <v>2750.1610999999998</v>
      </c>
      <c r="F6" s="29">
        <v>595</v>
      </c>
      <c r="G6" s="37">
        <f>SUM($E$2:E6)-F6</f>
        <v>21929.124199999998</v>
      </c>
      <c r="H6" s="4">
        <f t="shared" si="0"/>
        <v>850</v>
      </c>
      <c r="K6" s="4"/>
      <c r="L6" s="31">
        <f>IF(C6&gt;0,SUM($C$2:C6)+SUM(D7:$D$26),0)</f>
        <v>55995.650500000003</v>
      </c>
      <c r="M6" s="29">
        <f t="shared" si="1"/>
        <v>2125</v>
      </c>
      <c r="N6" s="31">
        <f t="shared" si="2"/>
        <v>53870.650500000003</v>
      </c>
      <c r="O6">
        <f t="shared" si="3"/>
        <v>0</v>
      </c>
    </row>
    <row r="7" spans="1:15" x14ac:dyDescent="0.2">
      <c r="A7">
        <v>6</v>
      </c>
      <c r="C7" s="29">
        <v>2325.3892000000001</v>
      </c>
      <c r="D7" s="36">
        <v>102.2405</v>
      </c>
      <c r="E7" s="36">
        <v>2223.1487000000002</v>
      </c>
      <c r="F7" s="29">
        <v>850</v>
      </c>
      <c r="G7" s="37">
        <f>SUM($E$2:E7)-F7</f>
        <v>23897.2729</v>
      </c>
      <c r="H7" s="4">
        <f t="shared" si="0"/>
        <v>1020</v>
      </c>
      <c r="K7" s="4"/>
      <c r="L7" s="31">
        <f>IF(C7&gt;0,SUM($C$2:C7)+SUM(D8:$D$26),0)</f>
        <v>58218.799200000001</v>
      </c>
      <c r="M7" s="29">
        <f t="shared" si="1"/>
        <v>3060</v>
      </c>
      <c r="N7" s="31">
        <f t="shared" si="2"/>
        <v>55158.799200000001</v>
      </c>
      <c r="O7">
        <f t="shared" si="3"/>
        <v>0</v>
      </c>
    </row>
    <row r="8" spans="1:15" x14ac:dyDescent="0.2">
      <c r="A8">
        <v>7</v>
      </c>
      <c r="C8" s="29">
        <v>5020.7237999999998</v>
      </c>
      <c r="D8" s="36">
        <v>2868.5037000000002</v>
      </c>
      <c r="E8" s="36">
        <v>2152.2201</v>
      </c>
      <c r="F8" s="29">
        <v>510</v>
      </c>
      <c r="G8" s="37">
        <f>SUM($E$2:E8)-F8</f>
        <v>26389.492999999999</v>
      </c>
      <c r="H8" s="4">
        <f t="shared" si="0"/>
        <v>1190</v>
      </c>
      <c r="K8" s="4"/>
      <c r="L8" s="31">
        <f>IF(C8&gt;0,SUM($C$2:C8)+SUM(D9:$D$26),0)</f>
        <v>60371.0193</v>
      </c>
      <c r="M8" s="29">
        <f t="shared" si="1"/>
        <v>4165</v>
      </c>
      <c r="N8" s="31">
        <f t="shared" si="2"/>
        <v>56206.0193</v>
      </c>
      <c r="O8">
        <f t="shared" si="3"/>
        <v>0</v>
      </c>
    </row>
    <row r="9" spans="1:15" x14ac:dyDescent="0.2">
      <c r="A9">
        <v>8</v>
      </c>
      <c r="C9" s="29">
        <v>3905.1833999999999</v>
      </c>
      <c r="D9" s="36">
        <v>2534.5205000000001</v>
      </c>
      <c r="E9" s="36">
        <v>1370.663</v>
      </c>
      <c r="F9" s="29">
        <v>1275</v>
      </c>
      <c r="G9" s="37">
        <f>SUM($E$2:E9)-F9</f>
        <v>26995.155999999999</v>
      </c>
      <c r="H9" s="4">
        <f t="shared" si="0"/>
        <v>1360</v>
      </c>
      <c r="K9" s="4"/>
      <c r="L9" s="31">
        <f>IF(C9&gt;0,SUM($C$2:C9)+SUM(D10:$D$26),0)</f>
        <v>61741.682200000003</v>
      </c>
      <c r="M9" s="29">
        <f t="shared" si="1"/>
        <v>5440</v>
      </c>
      <c r="N9" s="31">
        <f t="shared" si="2"/>
        <v>56301.682200000003</v>
      </c>
      <c r="O9">
        <f t="shared" si="3"/>
        <v>8</v>
      </c>
    </row>
    <row r="10" spans="1:15" s="7" customFormat="1" x14ac:dyDescent="0.2">
      <c r="A10">
        <v>9</v>
      </c>
      <c r="B10"/>
      <c r="C10" s="29">
        <v>1895.4483</v>
      </c>
      <c r="D10" s="36">
        <v>677.09540000000004</v>
      </c>
      <c r="E10" s="36">
        <v>1218.3530000000001</v>
      </c>
      <c r="F10" s="29">
        <v>1105</v>
      </c>
      <c r="G10" s="37">
        <f>SUM($E$2:E10)-F10</f>
        <v>28383.508999999998</v>
      </c>
      <c r="H10" s="4">
        <f t="shared" si="0"/>
        <v>1530</v>
      </c>
      <c r="I10"/>
      <c r="J10"/>
      <c r="K10" s="4"/>
      <c r="L10" s="31">
        <f>IF(C10&gt;0,SUM($C$2:C10)+SUM(D11:$D$26),0)</f>
        <v>62960.035099999994</v>
      </c>
      <c r="M10" s="29">
        <f t="shared" si="1"/>
        <v>6885</v>
      </c>
      <c r="N10" s="31">
        <f t="shared" si="2"/>
        <v>56075.035099999994</v>
      </c>
      <c r="O10">
        <f t="shared" si="3"/>
        <v>0</v>
      </c>
    </row>
    <row r="11" spans="1:15" x14ac:dyDescent="0.2">
      <c r="A11">
        <v>10</v>
      </c>
      <c r="C11" s="29">
        <v>5003.1832000000004</v>
      </c>
      <c r="D11" s="36">
        <v>4098.2611999999999</v>
      </c>
      <c r="E11" s="36">
        <v>904.92200000000003</v>
      </c>
      <c r="F11" s="29">
        <v>1020</v>
      </c>
      <c r="G11" s="37">
        <f>SUM($E$2:E11)-F11</f>
        <v>29373.430999999997</v>
      </c>
      <c r="H11" s="4">
        <f t="shared" si="0"/>
        <v>1700</v>
      </c>
      <c r="K11" s="4"/>
      <c r="L11" s="31">
        <f>IF(C11&gt;0,SUM($C$2:C11)+SUM(D12:$D$26),0)</f>
        <v>63864.9571</v>
      </c>
      <c r="M11" s="29">
        <f t="shared" si="1"/>
        <v>8500</v>
      </c>
      <c r="N11" s="31">
        <f t="shared" si="2"/>
        <v>55364.9571</v>
      </c>
      <c r="O11">
        <f t="shared" si="3"/>
        <v>0</v>
      </c>
    </row>
    <row r="12" spans="1:15" x14ac:dyDescent="0.2">
      <c r="A12">
        <v>11</v>
      </c>
      <c r="C12" s="29">
        <v>5370.3885</v>
      </c>
      <c r="D12" s="36">
        <v>4477.1320999999998</v>
      </c>
      <c r="E12" s="36">
        <v>893.25639999999999</v>
      </c>
      <c r="F12" s="29">
        <v>170</v>
      </c>
      <c r="G12" s="37">
        <f>SUM($E$2:E12)-F12</f>
        <v>31116.687399999995</v>
      </c>
      <c r="H12" s="4">
        <f t="shared" si="0"/>
        <v>1870</v>
      </c>
      <c r="K12" s="4"/>
      <c r="L12" s="31">
        <f>IF(C12&gt;0,SUM($C$2:C12)+SUM(D13:$D$26),0)</f>
        <v>64758.213499999998</v>
      </c>
      <c r="M12" s="29">
        <f t="shared" si="1"/>
        <v>10285</v>
      </c>
      <c r="N12" s="31">
        <f t="shared" si="2"/>
        <v>54473.213499999998</v>
      </c>
      <c r="O12">
        <f t="shared" si="3"/>
        <v>0</v>
      </c>
    </row>
    <row r="13" spans="1:15" x14ac:dyDescent="0.2">
      <c r="A13">
        <v>12</v>
      </c>
      <c r="C13" s="29">
        <v>5294.6602999999996</v>
      </c>
      <c r="D13" s="36">
        <v>4511.9192000000003</v>
      </c>
      <c r="E13" s="36">
        <v>782.74109999999996</v>
      </c>
      <c r="F13" s="29">
        <v>255</v>
      </c>
      <c r="G13" s="37">
        <f>SUM($E$2:E13)-F13</f>
        <v>31814.428499999995</v>
      </c>
      <c r="H13" s="4">
        <f t="shared" si="0"/>
        <v>2040</v>
      </c>
      <c r="K13" s="4"/>
      <c r="L13" s="31">
        <f>IF(C13&gt;0,SUM($C$2:C13)+SUM(D14:$D$26),0)</f>
        <v>65540.954599999997</v>
      </c>
      <c r="M13" s="29">
        <f t="shared" si="1"/>
        <v>12240</v>
      </c>
      <c r="N13" s="31">
        <f t="shared" si="2"/>
        <v>53300.954599999997</v>
      </c>
      <c r="O13">
        <f t="shared" si="3"/>
        <v>0</v>
      </c>
    </row>
    <row r="14" spans="1:15" x14ac:dyDescent="0.2">
      <c r="A14">
        <v>13</v>
      </c>
      <c r="C14" s="29">
        <v>2817.2530000000002</v>
      </c>
      <c r="D14" s="36">
        <v>2185.3987000000002</v>
      </c>
      <c r="E14" s="36">
        <v>631.85429999999997</v>
      </c>
      <c r="F14" s="29">
        <v>935</v>
      </c>
      <c r="G14" s="37">
        <f>SUM($E$2:E14)-F14</f>
        <v>31766.282799999994</v>
      </c>
      <c r="H14" s="4">
        <f t="shared" si="0"/>
        <v>2210</v>
      </c>
      <c r="K14" s="4"/>
      <c r="L14" s="31">
        <f>IF(C14&gt;0,SUM($C$2:C14)+SUM(D15:$D$26),0)</f>
        <v>66172.808900000004</v>
      </c>
      <c r="M14" s="29">
        <f t="shared" si="1"/>
        <v>14365</v>
      </c>
      <c r="N14" s="31">
        <f t="shared" si="2"/>
        <v>51807.808900000004</v>
      </c>
      <c r="O14">
        <f t="shared" si="3"/>
        <v>0</v>
      </c>
    </row>
    <row r="15" spans="1:15" x14ac:dyDescent="0.2">
      <c r="A15">
        <v>14</v>
      </c>
      <c r="C15" s="29">
        <v>2976.1282999999999</v>
      </c>
      <c r="D15" s="36">
        <v>2511.9328999999998</v>
      </c>
      <c r="E15" s="36">
        <v>464.19529999999997</v>
      </c>
      <c r="F15" s="29">
        <v>765</v>
      </c>
      <c r="G15" s="37">
        <f>SUM($E$2:E15)-F15</f>
        <v>32400.478099999993</v>
      </c>
      <c r="H15" s="4">
        <f t="shared" si="0"/>
        <v>2380</v>
      </c>
      <c r="K15" s="4"/>
      <c r="L15" s="31">
        <f>IF(C15&gt;0,SUM($C$2:C15)+SUM(D16:$D$26),0)</f>
        <v>66637.004300000001</v>
      </c>
      <c r="M15" s="29">
        <f t="shared" si="1"/>
        <v>16660</v>
      </c>
      <c r="N15" s="31">
        <f t="shared" si="2"/>
        <v>49977.004300000001</v>
      </c>
      <c r="O15">
        <f t="shared" si="3"/>
        <v>0</v>
      </c>
    </row>
    <row r="16" spans="1:15" x14ac:dyDescent="0.2">
      <c r="A16">
        <v>15</v>
      </c>
      <c r="C16" s="29">
        <v>13.0284</v>
      </c>
      <c r="D16" s="36">
        <v>5.2359999999999998</v>
      </c>
      <c r="E16" s="36">
        <v>7.7923999999999998</v>
      </c>
      <c r="F16" s="29">
        <v>425</v>
      </c>
      <c r="G16" s="37">
        <f>SUM($E$2:E16)-F16</f>
        <v>32748.270499999991</v>
      </c>
      <c r="H16" s="4">
        <f t="shared" si="0"/>
        <v>2550</v>
      </c>
      <c r="K16" s="4"/>
      <c r="L16" s="31">
        <f>IF(C16&gt;0,SUM($C$2:C16)+SUM(D17:$D$26),0)</f>
        <v>66644.796699999992</v>
      </c>
      <c r="M16" s="29">
        <f t="shared" si="1"/>
        <v>19125</v>
      </c>
      <c r="N16" s="31">
        <f t="shared" si="2"/>
        <v>47519.796699999992</v>
      </c>
      <c r="O16">
        <f t="shared" si="3"/>
        <v>0</v>
      </c>
    </row>
    <row r="17" spans="1:15" x14ac:dyDescent="0.2">
      <c r="C17" s="29"/>
      <c r="D17" s="36"/>
      <c r="E17" s="36"/>
      <c r="F17" s="29"/>
      <c r="G17" s="37">
        <f>SUM($E$2:E17)-F17</f>
        <v>33173.270499999991</v>
      </c>
      <c r="H17" s="4">
        <f t="shared" si="0"/>
        <v>0</v>
      </c>
      <c r="K17" s="4"/>
      <c r="L17" s="31">
        <f>IF(C17&gt;0,SUM($C$2:C17)+SUM(D18:$D$26),0)</f>
        <v>0</v>
      </c>
      <c r="M17" s="29">
        <f t="shared" si="1"/>
        <v>0</v>
      </c>
      <c r="N17" s="31">
        <f t="shared" si="2"/>
        <v>0</v>
      </c>
      <c r="O17">
        <f t="shared" si="3"/>
        <v>0</v>
      </c>
    </row>
    <row r="18" spans="1:15" x14ac:dyDescent="0.2">
      <c r="A18" s="6"/>
      <c r="C18" s="29"/>
      <c r="D18" s="36"/>
      <c r="E18" s="36"/>
      <c r="F18" s="29"/>
      <c r="G18" s="37">
        <f>SUM($E$2:E18)-F18</f>
        <v>33173.270499999991</v>
      </c>
      <c r="H18" s="4">
        <f t="shared" si="0"/>
        <v>0</v>
      </c>
      <c r="K18" s="4"/>
      <c r="L18" s="31">
        <f>IF(C18&gt;0,SUM($C$2:C18)+SUM(D19:$D$26),0)</f>
        <v>0</v>
      </c>
      <c r="M18" s="29">
        <f t="shared" si="1"/>
        <v>0</v>
      </c>
      <c r="N18" s="31">
        <f t="shared" si="2"/>
        <v>0</v>
      </c>
      <c r="O18">
        <f t="shared" si="3"/>
        <v>0</v>
      </c>
    </row>
    <row r="19" spans="1:15" x14ac:dyDescent="0.2">
      <c r="C19" s="29"/>
      <c r="D19" s="36"/>
      <c r="E19" s="36"/>
      <c r="F19" s="29"/>
      <c r="G19" s="37">
        <f>SUM($E$2:E19)-F19</f>
        <v>33173.270499999991</v>
      </c>
      <c r="H19" s="4">
        <f t="shared" si="0"/>
        <v>0</v>
      </c>
      <c r="K19" s="4"/>
      <c r="L19" s="31">
        <f>IF(C19&gt;0,SUM($C$2:C19)+SUM(D20:$D$26),0)</f>
        <v>0</v>
      </c>
      <c r="M19" s="29">
        <f t="shared" si="1"/>
        <v>0</v>
      </c>
      <c r="N19" s="31">
        <f t="shared" si="2"/>
        <v>0</v>
      </c>
      <c r="O19">
        <f t="shared" si="3"/>
        <v>0</v>
      </c>
    </row>
    <row r="20" spans="1:15" x14ac:dyDescent="0.2">
      <c r="C20" s="29"/>
      <c r="D20" s="36"/>
      <c r="E20" s="36"/>
      <c r="F20" s="29"/>
      <c r="G20" s="37">
        <f>SUM($E$2:E20)-F20</f>
        <v>33173.270499999991</v>
      </c>
      <c r="H20" s="4">
        <f t="shared" si="0"/>
        <v>0</v>
      </c>
      <c r="K20" s="4"/>
      <c r="L20" s="31">
        <f>IF(C20&gt;0,SUM($C$2:C20)+SUM(D21:$D$26),0)</f>
        <v>0</v>
      </c>
      <c r="M20" s="29">
        <f t="shared" ref="M20:M26" si="4">$D$28*A20^2</f>
        <v>0</v>
      </c>
      <c r="N20" s="31">
        <f t="shared" si="2"/>
        <v>0</v>
      </c>
      <c r="O20">
        <f t="shared" si="3"/>
        <v>0</v>
      </c>
    </row>
    <row r="21" spans="1:15" x14ac:dyDescent="0.2">
      <c r="A21" s="7"/>
      <c r="C21" s="29"/>
      <c r="D21" s="36"/>
      <c r="E21" s="36"/>
      <c r="F21" s="29"/>
      <c r="G21" s="37">
        <f>SUM($E$2:E21)-F21</f>
        <v>33173.270499999991</v>
      </c>
      <c r="H21" s="4">
        <f t="shared" si="0"/>
        <v>0</v>
      </c>
      <c r="K21" s="4"/>
      <c r="L21" s="31">
        <f>IF(C21&gt;0,SUM($C$2:C21)+SUM(D22:$D$26),0)</f>
        <v>0</v>
      </c>
      <c r="M21" s="29">
        <f t="shared" si="4"/>
        <v>0</v>
      </c>
      <c r="N21" s="31">
        <f t="shared" si="2"/>
        <v>0</v>
      </c>
      <c r="O21">
        <f t="shared" si="3"/>
        <v>0</v>
      </c>
    </row>
    <row r="22" spans="1:15" x14ac:dyDescent="0.2">
      <c r="C22" s="29"/>
      <c r="D22" s="36"/>
      <c r="E22" s="36"/>
      <c r="F22" s="30"/>
      <c r="G22" s="38">
        <f>SUM($E$2:E22)-F22</f>
        <v>33173.270499999991</v>
      </c>
      <c r="H22" s="4">
        <f t="shared" si="0"/>
        <v>0</v>
      </c>
      <c r="K22" s="4"/>
      <c r="L22" s="31">
        <f>IF(C22&gt;0,SUM($C$2:C22)+SUM(D23:$D$26),0)</f>
        <v>0</v>
      </c>
      <c r="M22" s="29">
        <f t="shared" si="4"/>
        <v>0</v>
      </c>
      <c r="N22" s="31">
        <f t="shared" si="2"/>
        <v>0</v>
      </c>
      <c r="O22">
        <f t="shared" si="3"/>
        <v>0</v>
      </c>
    </row>
    <row r="23" spans="1:15" x14ac:dyDescent="0.2">
      <c r="C23" s="29"/>
      <c r="D23" s="36"/>
      <c r="E23" s="36"/>
      <c r="F23" s="29"/>
      <c r="G23" s="37">
        <f>SUM($E$2:E23)-F23</f>
        <v>33173.270499999991</v>
      </c>
      <c r="H23" s="4">
        <f t="shared" si="0"/>
        <v>0</v>
      </c>
      <c r="K23" s="4"/>
      <c r="L23" s="31">
        <f>IF(C23&gt;0,SUM($C$2:C23)+SUM(D24:$D$26),0)</f>
        <v>0</v>
      </c>
      <c r="M23" s="29">
        <f t="shared" si="4"/>
        <v>0</v>
      </c>
      <c r="N23" s="31">
        <f t="shared" si="2"/>
        <v>0</v>
      </c>
      <c r="O23">
        <f t="shared" si="3"/>
        <v>0</v>
      </c>
    </row>
    <row r="24" spans="1:15" x14ac:dyDescent="0.2">
      <c r="C24" s="29"/>
      <c r="D24" s="36"/>
      <c r="E24" s="36"/>
      <c r="F24" s="29"/>
      <c r="G24" s="37">
        <f>SUM($E$2:E24)-F24</f>
        <v>33173.270499999991</v>
      </c>
      <c r="H24" s="4">
        <f t="shared" si="0"/>
        <v>0</v>
      </c>
      <c r="K24" s="4"/>
      <c r="L24" s="31">
        <f>IF(C24&gt;0,SUM($C$2:C24)+SUM(D25:$D$26),0)</f>
        <v>0</v>
      </c>
      <c r="M24" s="29">
        <f t="shared" si="4"/>
        <v>0</v>
      </c>
      <c r="N24" s="31">
        <f t="shared" si="2"/>
        <v>0</v>
      </c>
      <c r="O24">
        <f t="shared" si="3"/>
        <v>0</v>
      </c>
    </row>
    <row r="25" spans="1:15" x14ac:dyDescent="0.2">
      <c r="C25" s="29"/>
      <c r="D25" s="36"/>
      <c r="E25" s="36"/>
      <c r="F25" s="29"/>
      <c r="G25" s="37">
        <f>SUM($E$2:E25)-F25</f>
        <v>33173.270499999991</v>
      </c>
      <c r="H25" s="4">
        <f t="shared" si="0"/>
        <v>0</v>
      </c>
      <c r="K25" s="4"/>
      <c r="L25" s="31">
        <f>IF(C25&gt;0,SUM($C$2:C25)+SUM(D26:$D$26),0)</f>
        <v>0</v>
      </c>
      <c r="M25" s="29">
        <f t="shared" si="4"/>
        <v>0</v>
      </c>
      <c r="N25" s="31">
        <f t="shared" si="2"/>
        <v>0</v>
      </c>
      <c r="O25">
        <f t="shared" si="3"/>
        <v>0</v>
      </c>
    </row>
    <row r="26" spans="1:15" x14ac:dyDescent="0.2">
      <c r="C26" s="29"/>
      <c r="D26" s="36"/>
      <c r="E26" s="36"/>
      <c r="F26" s="29"/>
      <c r="G26" s="37">
        <f>SUM($E$2:E26)-F26</f>
        <v>33173.270499999991</v>
      </c>
      <c r="H26" s="4">
        <f t="shared" si="0"/>
        <v>0</v>
      </c>
      <c r="K26" s="4"/>
      <c r="L26" s="31">
        <f>IF(C26&gt;0,SUM($C$2:C26)+SUM(D$26:$D27),0)</f>
        <v>0</v>
      </c>
      <c r="M26" s="29">
        <f t="shared" si="4"/>
        <v>0</v>
      </c>
      <c r="N26" s="31">
        <f t="shared" si="2"/>
        <v>0</v>
      </c>
      <c r="O26">
        <f t="shared" si="3"/>
        <v>0</v>
      </c>
    </row>
    <row r="28" spans="1:15" ht="15" x14ac:dyDescent="0.25">
      <c r="A28" s="3" t="s">
        <v>9</v>
      </c>
      <c r="B28" s="3"/>
      <c r="C28" s="3" t="s">
        <v>10</v>
      </c>
      <c r="D28">
        <f>generate!B26</f>
        <v>85</v>
      </c>
      <c r="H28" s="25" t="s">
        <v>37</v>
      </c>
    </row>
    <row r="29" spans="1:15" ht="15" x14ac:dyDescent="0.25">
      <c r="A29" s="3" t="s">
        <v>8</v>
      </c>
      <c r="B29" s="3"/>
      <c r="C29" s="4">
        <f>SUM(C2:C26)</f>
        <v>66644.796699999992</v>
      </c>
      <c r="D29" s="4">
        <f>SUM(D2:D26)</f>
        <v>33471.526299999998</v>
      </c>
      <c r="F29" s="4">
        <f>-F26</f>
        <v>0</v>
      </c>
      <c r="H29" s="26">
        <f>SUM(C2:C12)+SUM(D13:D26)</f>
        <v>64758.213499999998</v>
      </c>
      <c r="N29" s="31">
        <f>MAX(N2:N26)</f>
        <v>56301.682200000003</v>
      </c>
    </row>
    <row r="30" spans="1:15" ht="15" x14ac:dyDescent="0.25">
      <c r="A30" s="3" t="s">
        <v>11</v>
      </c>
      <c r="B30" s="3"/>
      <c r="C30" s="5">
        <f>F29</f>
        <v>0</v>
      </c>
      <c r="D30">
        <v>0</v>
      </c>
      <c r="H30" s="26">
        <f>-F12</f>
        <v>-170</v>
      </c>
    </row>
    <row r="31" spans="1:15" ht="15" x14ac:dyDescent="0.25">
      <c r="A31" s="3" t="s">
        <v>12</v>
      </c>
      <c r="B31" s="3"/>
      <c r="C31" s="5">
        <f>C29+C30</f>
        <v>66644.796699999992</v>
      </c>
      <c r="D31" s="5">
        <f>D29+D30</f>
        <v>33471.526299999998</v>
      </c>
      <c r="H31" s="26">
        <f>H29+H30</f>
        <v>64588.213499999998</v>
      </c>
    </row>
    <row r="32" spans="1:15" x14ac:dyDescent="0.2">
      <c r="A32" s="35" t="s">
        <v>58</v>
      </c>
      <c r="C32">
        <f>SUM(O2:O26)</f>
        <v>8</v>
      </c>
    </row>
    <row r="33" spans="1:8" ht="15" x14ac:dyDescent="0.25">
      <c r="A33" t="s">
        <v>59</v>
      </c>
      <c r="C33" s="4">
        <v>1370.663</v>
      </c>
      <c r="D33" s="4">
        <v>1218.3530000000001</v>
      </c>
      <c r="G33" s="27" t="s">
        <v>38</v>
      </c>
      <c r="H33" s="28">
        <f>H31-C31</f>
        <v>-2056.5831999999937</v>
      </c>
    </row>
  </sheetData>
  <autoFilter ref="B1:K1">
    <sortState ref="B2:K26">
      <sortCondition descending="1" ref="E1"/>
    </sortState>
  </autoFilter>
  <sortState ref="A2:H26">
    <sortCondition descending="1" ref="E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generate</vt:lpstr>
      <vt:lpstr>gamesheet</vt:lpstr>
      <vt:lpstr>payoffs</vt:lpstr>
      <vt:lpstr>balance sheet</vt:lpstr>
      <vt:lpstr>find_best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Fenichel, Eli</dc:creator>
  <cp:lastModifiedBy>Fenichel, Eli</cp:lastModifiedBy>
  <cp:lastPrinted>2018-11-20T21:14:05Z</cp:lastPrinted>
  <dcterms:created xsi:type="dcterms:W3CDTF">2016-10-03T17:59:49Z</dcterms:created>
  <dcterms:modified xsi:type="dcterms:W3CDTF">2019-02-13T16:05:55Z</dcterms:modified>
</cp:coreProperties>
</file>